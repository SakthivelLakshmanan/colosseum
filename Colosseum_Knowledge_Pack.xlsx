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Numbers" sheetId="2" state="visible" r:id="rId4"/>
    <sheet name="Planted Facts" sheetId="3" state="visible" r:id="rId5"/>
    <sheet name="Background Facts" sheetId="4" state="visible" r:id="rId6"/>
    <sheet name="Advisers" sheetId="5" state="visible" r:id="rId7"/>
    <sheet name="Routing Tests" sheetId="6" state="visible" r:id="rId8"/>
    <sheet name="Moderator Tests" sheetId="7" state="visible" r:id="rId9"/>
    <sheet name="Expected Outcome" sheetId="8" state="visible" r:id="rId10"/>
    <sheet name="Tracker" sheetId="9" state="visible" r:id="rId11"/>
  </sheets>
  <definedNames>
    <definedName function="false" hidden="true" localSheetId="2" name="_xlnm._FilterDatabase" vbProcedure="false">'Planted Facts'!$A$3:$N$74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<sst xmlns="http://schemas.openxmlformats.org/spreadsheetml/2006/main" count="1554" uniqueCount="878">
  <si>
    <t xml:space="preserve">Colosseum knowledge pack — Legion Capital</t>
  </si>
  <si>
    <t xml:space="preserve">Everything the app needs to run and be tested. Data, documents and this workbook are generated from one source, so they always agree.</t>
  </si>
  <si>
    <t xml:space="preserve">Company</t>
  </si>
  <si>
    <t xml:space="preserve">Legion Capital Ltd: a fictional RBI-registered NBFC (digital personal and SME loans) with a merchant checkout product, Legion Pay. About 10 million payment transactions (≈ ₹1,500 crore) a month, all through Arvanta Payments today.</t>
  </si>
  <si>
    <t xml:space="preserve">Decision</t>
  </si>
  <si>
    <t xml:space="preserve">Should Legion Capital move 40% of its payment volume (about ₹600 crore a month) from Arvanta Payments to Brevis Pay?</t>
  </si>
  <si>
    <t xml:space="preserve">Tab</t>
  </si>
  <si>
    <t xml:space="preserve">What it is and where the app uses it</t>
  </si>
  <si>
    <t xml:space="preserve">Numbers</t>
  </si>
  <si>
    <t xml:space="preserve">Inputs and formulas behind the planted numbers, for the full 40% move and a 15% first phase. Lets you sanity-check what Finance should calculate.</t>
  </si>
  <si>
    <t xml:space="preserve">Planted Facts</t>
  </si>
  <si>
    <t xml:space="preserve">71 facts the demo depends on: 10+ per adviser. Loaded into BigQuery colosseum.facts. The Expected conclusion, Direction, Impact and Blocking columns are the ANSWER KEY: they live only in colosseum_eval and are never shown to agents.</t>
  </si>
  <si>
    <t xml:space="preserve">Background Facts</t>
  </si>
  <si>
    <t xml:space="preserve">54 everyday company facts unrelated to this decision. They make the fact store realistic and test that routing and retrieval stay focused as facts grow.</t>
  </si>
  <si>
    <t xml:space="preserve">Advisers</t>
  </si>
  <si>
    <t xml:space="preserve">The adviser registry (config/advisers.yaml): lens, capability statements the harness embeds for routing, criteria each adviser scores, and who can block.</t>
  </si>
  <si>
    <t xml:space="preserve">Routing Tests</t>
  </si>
  <si>
    <t xml:space="preserve">8 decision briefs with the advisers the harness must and must not pick. Used on Day 5.</t>
  </si>
  <si>
    <t xml:space="preserve">Moderator Tests</t>
  </si>
  <si>
    <t xml:space="preserve">14 cases: claims the moderator must keep, flag or strike, and memos it must pass, mark incomplete or mark wrong. Used on Day 7.</t>
  </si>
  <si>
    <t xml:space="preserve">Expected Outcome</t>
  </si>
  <si>
    <t xml:space="preserve">What a good Colosseum run should recommend for the demo decision.</t>
  </si>
  <si>
    <t xml:space="preserve">Tracker</t>
  </si>
  <si>
    <t xml:space="preserve">Day 1 done + Days 2–11 with milestones and minutes.</t>
  </si>
  <si>
    <t xml:space="preserve">Note</t>
  </si>
  <si>
    <t xml:space="preserve">Keep using the Setup tab in your Day 1 workbook for project IDs and model IDs.</t>
  </si>
  <si>
    <t xml:space="preserve">Legend</t>
  </si>
  <si>
    <t xml:space="preserve">Blue text = input you can change. Black = formula. Yellow = fill in. Red row = blocking fact.</t>
  </si>
  <si>
    <t xml:space="preserve">Fictional</t>
  </si>
  <si>
    <t xml:space="preserve">Legion Capital, Arvanta Payments, Brevis Pay, Sentrix Risk, Vireo Finance, Coral Bank and Tamra Bank are all fictional.</t>
  </si>
  <si>
    <t xml:space="preserve">Planted numbers and the calculations Finance should reproduce</t>
  </si>
  <si>
    <t xml:space="preserve">Blue = input · Black = formula. Columns B and C compare the full 40% move with a 15% first phase.</t>
  </si>
  <si>
    <t xml:space="preserve">Inputs</t>
  </si>
  <si>
    <t xml:space="preserve">Monthly payment volume</t>
  </si>
  <si>
    <t xml:space="preserve">₹ crore</t>
  </si>
  <si>
    <t xml:space="preserve">Share moved — full plan</t>
  </si>
  <si>
    <t xml:space="preserve">%</t>
  </si>
  <si>
    <t xml:space="preserve">Share moved — phase 1</t>
  </si>
  <si>
    <t xml:space="preserve">Arvanta blended fee</t>
  </si>
  <si>
    <t xml:space="preserve">% of volume</t>
  </si>
  <si>
    <t xml:space="preserve">Brevis blended fee (final quote)</t>
  </si>
  <si>
    <t xml:space="preserve">Brevis India-only hosting add-on (flat)</t>
  </si>
  <si>
    <t xml:space="preserve">₹ lakh / month</t>
  </si>
  <si>
    <t xml:space="preserve">Funding-cost benefit at 40% (T+1 settlement)</t>
  </si>
  <si>
    <t xml:space="preserve">Disputes per month at 40%</t>
  </si>
  <si>
    <t xml:space="preserve">disputes</t>
  </si>
  <si>
    <t xml:space="preserve">Arvanta dispute fee</t>
  </si>
  <si>
    <t xml:space="preserve">₹ per dispute</t>
  </si>
  <si>
    <t xml:space="preserve">Brevis dispute fee</t>
  </si>
  <si>
    <t xml:space="preserve">One-time migration cost</t>
  </si>
  <si>
    <t xml:space="preserve">₹ lakh</t>
  </si>
  <si>
    <t xml:space="preserve">Arvanta early-exit fee</t>
  </si>
  <si>
    <t xml:space="preserve">Arvanta minimum commitment</t>
  </si>
  <si>
    <t xml:space="preserve">OKR: max share for one gateway</t>
  </si>
  <si>
    <t xml:space="preserve">Cross-border pipeline</t>
  </si>
  <si>
    <t xml:space="preserve">₹ crore / month</t>
  </si>
  <si>
    <t xml:space="preserve">Take rate on cross-border volume</t>
  </si>
  <si>
    <t xml:space="preserve">Settlement complaints — July</t>
  </si>
  <si>
    <t xml:space="preserve">tickets</t>
  </si>
  <si>
    <t xml:space="preserve">Settlement complaints — September</t>
  </si>
  <si>
    <t xml:space="preserve">Cost per support ticket</t>
  </si>
  <si>
    <t xml:space="preserve">₹</t>
  </si>
  <si>
    <t xml:space="preserve">Scenario comparison</t>
  </si>
  <si>
    <t xml:space="preserve">Full move (40%)</t>
  </si>
  <si>
    <t xml:space="preserve">Phase 1 (15%)</t>
  </si>
  <si>
    <t xml:space="preserve">Unit</t>
  </si>
  <si>
    <t xml:space="preserve">Share moved</t>
  </si>
  <si>
    <t xml:space="preserve">Volume moved</t>
  </si>
  <si>
    <t xml:space="preserve">Cost on Arvanta</t>
  </si>
  <si>
    <t xml:space="preserve">Cost on Brevis</t>
  </si>
  <si>
    <t xml:space="preserve">Gross fee saving</t>
  </si>
  <si>
    <t xml:space="preserve">Funding-cost benefit</t>
  </si>
  <si>
    <t xml:space="preserve">Extra dispute cost on Brevis</t>
  </si>
  <si>
    <t xml:space="preserve">India-only hosting add-on (flat)</t>
  </si>
  <si>
    <t xml:space="preserve">Net monthly benefit (costs only)</t>
  </si>
  <si>
    <t xml:space="preserve">Arvanta share after the move</t>
  </si>
  <si>
    <t xml:space="preserve">Exit fee triggered?</t>
  </si>
  <si>
    <t xml:space="preserve">One-time cost</t>
  </si>
  <si>
    <t xml:space="preserve">Payback (costs only)</t>
  </si>
  <si>
    <t xml:space="preserve">months</t>
  </si>
  <si>
    <t xml:space="preserve">Cross-border revenue unlocked</t>
  </si>
  <si>
    <t xml:space="preserve">Net monthly benefit incl. cross-border</t>
  </si>
  <si>
    <t xml:space="preserve">Payback incl. cross-border</t>
  </si>
  <si>
    <t xml:space="preserve">Meets the 70% OKR?</t>
  </si>
  <si>
    <t xml:space="preserve">Other checks</t>
  </si>
  <si>
    <t xml:space="preserve">Cross-border fee revenue per year</t>
  </si>
  <si>
    <t xml:space="preserve">₹ lakh / year (≈ ₹1.08 crore)</t>
  </si>
  <si>
    <t xml:space="preserve">Settlement complaint growth, July → September</t>
  </si>
  <si>
    <t xml:space="preserve">Cost of September settlement tickets</t>
  </si>
  <si>
    <t xml:space="preserve">Reading it: the full 40% move pays back its one-time costs in about 6 months on costs alone. Phase 1 alone barely breaks even because the ₹6 lakh add-on is flat, but it avoids the exit fee and unlocks cross-border revenue. That tension is what the debate should surface.</t>
  </si>
  <si>
    <t xml:space="preserve">Planted facts — 71 facts, 10+ per adviser</t>
  </si>
  <si>
    <t xml:space="preserve">Columns A–J are what the app's fact store holds. Columns K–N are the ANSWER KEY (kept in colosseum_eval, never shown to agents).</t>
  </si>
  <si>
    <t xml:space="preserve">Fact ID</t>
  </si>
  <si>
    <t xml:space="preserve">Adviser</t>
  </si>
  <si>
    <t xml:space="preserve">Topic</t>
  </si>
  <si>
    <t xml:space="preserve">Fact</t>
  </si>
  <si>
    <t xml:space="preserve">Value</t>
  </si>
  <si>
    <t xml:space="preserve">As of</t>
  </si>
  <si>
    <t xml:space="preserve">Source</t>
  </si>
  <si>
    <t xml:space="preserve">Reliability</t>
  </si>
  <si>
    <t xml:space="preserve">Superseded by</t>
  </si>
  <si>
    <t xml:space="preserve">Expected conclusion</t>
  </si>
  <si>
    <t xml:space="preserve">Direction</t>
  </si>
  <si>
    <t xml:space="preserve">Impact</t>
  </si>
  <si>
    <t xml:space="preserve">Blocking</t>
  </si>
  <si>
    <t xml:space="preserve">FIN-01</t>
  </si>
  <si>
    <t xml:space="preserve">Finance</t>
  </si>
  <si>
    <t xml:space="preserve">volume</t>
  </si>
  <si>
    <t xml:space="preserve">Legion Capital processed 10.0 million payment transactions worth about ₹1,500 crore in September 2026 (average ₹1,500).</t>
  </si>
  <si>
    <t xml:space="preserve">INR crore / month</t>
  </si>
  <si>
    <t xml:space="preserve">2026-09-30</t>
  </si>
  <si>
    <t xml:space="preserve">transactions_monthly</t>
  </si>
  <si>
    <t xml:space="preserve">high</t>
  </si>
  <si>
    <t xml:space="preserve">40% of volume is about ₹600 crore a month, the slice being decided on.</t>
  </si>
  <si>
    <t xml:space="preserve">neutral</t>
  </si>
  <si>
    <t xml:space="preserve">FIN-02</t>
  </si>
  <si>
    <t xml:space="preserve">fees</t>
  </si>
  <si>
    <t xml:space="preserve">Arvanta Payments charges a blended fee of 0.20% of payment volume.</t>
  </si>
  <si>
    <t xml:space="preserve">2023-04-01</t>
  </si>
  <si>
    <t xml:space="preserve">Arvanta_MSA_Excerpt.pdf §4.1</t>
  </si>
  <si>
    <t xml:space="preserve">Cost of the 40% slice on Arvanta is ₹120 lakh a month.</t>
  </si>
  <si>
    <t xml:space="preserve">FIN-03</t>
  </si>
  <si>
    <t xml:space="preserve">Brevis Pay's final quote (15 Sep 2026) is a blended fee of 0.176% of volume, 12% below Arvanta.</t>
  </si>
  <si>
    <t xml:space="preserve">2026-09-15</t>
  </si>
  <si>
    <t xml:space="preserve">Brevis_Draft_Agreement.pdf Schedule 1</t>
  </si>
  <si>
    <t xml:space="preserve">Gross saving on the 40% slice is ₹14.4 lakh a month (12%).</t>
  </si>
  <si>
    <t xml:space="preserve">favours B</t>
  </si>
  <si>
    <t xml:space="preserve">FIN-04</t>
  </si>
  <si>
    <t xml:space="preserve">Brevis Pay's India-only hosting add-on, needed to keep fraud scoring in India, costs a flat ₹6 lakh a month.</t>
  </si>
  <si>
    <t xml:space="preserve">INR lakh / month</t>
  </si>
  <si>
    <t xml:space="preserve">Brevis_Draft_Agreement.pdf Schedule 1 item 4</t>
  </si>
  <si>
    <t xml:space="preserve">Fixing the InfoSec block costs ₹6 lakh a month; because it is flat, it eats most of the saving in a small first phase.</t>
  </si>
  <si>
    <t xml:space="preserve">caution</t>
  </si>
  <si>
    <t xml:space="preserve">FIN-05</t>
  </si>
  <si>
    <t xml:space="preserve">one_time_cost</t>
  </si>
  <si>
    <t xml:space="preserve">The one-time cost of migrating to Brevis Pay (engineering, certification, testing) is estimated at ₹40 lakh.</t>
  </si>
  <si>
    <t xml:space="preserve">INR lakh one-time</t>
  </si>
  <si>
    <t xml:space="preserve">2026-09-25</t>
  </si>
  <si>
    <t xml:space="preserve">Ops_Review_Q3_2026.pdf §5</t>
  </si>
  <si>
    <t xml:space="preserve">medium</t>
  </si>
  <si>
    <t xml:space="preserve">Add ₹40 lakh migration cost (plus the ₹25 lakh exit fee if triggered) to payback.</t>
  </si>
  <si>
    <t xml:space="preserve">FIN-06</t>
  </si>
  <si>
    <t xml:space="preserve">treasury</t>
  </si>
  <si>
    <t xml:space="preserve">Treasury estimates that Brevis Pay's T+1 card settlement (vs Arvanta's T+2) would cut funding cost by about ₹4 lakh a month on the 40% slice.</t>
  </si>
  <si>
    <t xml:space="preserve">2026-09-24</t>
  </si>
  <si>
    <t xml:space="preserve">Board_Minutes_Sep2026.pdf item 3</t>
  </si>
  <si>
    <t xml:space="preserve">Adds ₹4 lakh a month of benefit on the 40% slice.</t>
  </si>
  <si>
    <t xml:space="preserve">FIN-07</t>
  </si>
  <si>
    <t xml:space="preserve">Legion Capital's cost of funds is 9.5% a year.</t>
  </si>
  <si>
    <t xml:space="preserve">% per year</t>
  </si>
  <si>
    <t xml:space="preserve">Context for valuing faster settlement.</t>
  </si>
  <si>
    <t xml:space="preserve">low</t>
  </si>
  <si>
    <t xml:space="preserve">FIN-08</t>
  </si>
  <si>
    <t xml:space="preserve">Dispute handling fees: Arvanta ₹150 and Brevis ₹250 per dispute. About 2,000 disputes a month arise on the 40% slice.</t>
  </si>
  <si>
    <t xml:space="preserve">Brevis_Draft_Agreement.pdf Schedule 1 item 2; Arvanta_MSA_Excerpt.pdf §4.3; Ops_Review_Q3_2026.pdf §1</t>
  </si>
  <si>
    <t xml:space="preserve">Brevis costs ₹2 lakh a month more in dispute fees on the 40% slice.</t>
  </si>
  <si>
    <t xml:space="preserve">favours A</t>
  </si>
  <si>
    <t xml:space="preserve">FIN-09</t>
  </si>
  <si>
    <t xml:space="preserve">budget</t>
  </si>
  <si>
    <t xml:space="preserve">FY27 payments-cost budget is ₹33 crore; the current run-rate is ₹36 crore a year (9% over budget).</t>
  </si>
  <si>
    <t xml:space="preserve">INR crore / year</t>
  </si>
  <si>
    <t xml:space="preserve">Board_Minutes_Sep2026.pdf item 2</t>
  </si>
  <si>
    <t xml:space="preserve">There is real pressure to cut payment costs.</t>
  </si>
  <si>
    <t xml:space="preserve">FIN-10</t>
  </si>
  <si>
    <t xml:space="preserve">forecast</t>
  </si>
  <si>
    <t xml:space="preserve">Payment volume is forecast to grow 25% over the next 12 months.</t>
  </si>
  <si>
    <t xml:space="preserve">% next 12 months</t>
  </si>
  <si>
    <t xml:space="preserve">2026-07-01</t>
  </si>
  <si>
    <t xml:space="preserve">Legion_Strategy_OKRs_FY27.pdf §2</t>
  </si>
  <si>
    <t xml:space="preserve">Savings and fees scale with volume, so the gap grows over time.</t>
  </si>
  <si>
    <t xml:space="preserve">FIN-11</t>
  </si>
  <si>
    <t xml:space="preserve">targets</t>
  </si>
  <si>
    <t xml:space="preserve">The board's FY27 target is to cut the cost-to-income ratio from 48% to 42%.</t>
  </si>
  <si>
    <t xml:space="preserve">Supports cost reduction, but not at the expense of a compliance breach.</t>
  </si>
  <si>
    <t xml:space="preserve">FIN-12</t>
  </si>
  <si>
    <t xml:space="preserve">An early internal email (March 2026) estimated that Brevis would be 18% cheaper than Arvanta.</t>
  </si>
  <si>
    <t xml:space="preserve">2026-03-12</t>
  </si>
  <si>
    <t xml:space="preserve">Finance_Email_Mar2026.pdf</t>
  </si>
  <si>
    <t xml:space="preserve">Out of date. Superseded by the final quote (FIN-03, 12%). Must not be used.</t>
  </si>
  <si>
    <t xml:space="preserve">BUS-01</t>
  </si>
  <si>
    <t xml:space="preserve">Business</t>
  </si>
  <si>
    <t xml:space="preserve">pipeline</t>
  </si>
  <si>
    <t xml:space="preserve">30 cross-border SME merchants in the sales pipeline, worth about ₹45 crore a month, need international card acceptance, which only Brevis Pay supports.</t>
  </si>
  <si>
    <t xml:space="preserve">sales_pipeline</t>
  </si>
  <si>
    <t xml:space="preserve">Moving to Brevis unlocks a ₹45 crore/month pipeline.</t>
  </si>
  <si>
    <t xml:space="preserve">BUS-02</t>
  </si>
  <si>
    <t xml:space="preserve">okr</t>
  </si>
  <si>
    <t xml:space="preserve">FY27 OKR: no single payment gateway should carry more than 70% of volume by 31 March 2027.</t>
  </si>
  <si>
    <t xml:space="preserve">2026-04-01</t>
  </si>
  <si>
    <t xml:space="preserve">Legion_Strategy_OKRs_FY27.pdf §3 OKR 2.1</t>
  </si>
  <si>
    <t xml:space="preserve">At least 30% must move by 31 Mar 2027; a 15% phase alone doesn't meet it.</t>
  </si>
  <si>
    <t xml:space="preserve">BUS-03</t>
  </si>
  <si>
    <t xml:space="preserve">market</t>
  </si>
  <si>
    <t xml:space="preserve">Competitor Vireo Finance moved to a multi-gateway setup in June 2026 and now advertises '99.9% payment uptime' to SME merchants.</t>
  </si>
  <si>
    <t xml:space="preserve">multi-gateway since Jun 2026</t>
  </si>
  <si>
    <t xml:space="preserve">2026-07-15</t>
  </si>
  <si>
    <t xml:space="preserve">Legion_Strategy_OKRs_FY27.pdf §5</t>
  </si>
  <si>
    <t xml:space="preserve">Competitive pressure to reduce single-gateway dependence.</t>
  </si>
  <si>
    <t xml:space="preserve">BUS-04</t>
  </si>
  <si>
    <t xml:space="preserve">product</t>
  </si>
  <si>
    <t xml:space="preserve">Legion Pay Later (BNPL at checkout) is planned for Q1 FY28 (Apr–Jun 2027). Brevis Pay has native EMI/BNPL APIs; Arvanta would need a 4-month custom build.</t>
  </si>
  <si>
    <t xml:space="preserve">Legion_Strategy_OKRs_FY27.pdf §4</t>
  </si>
  <si>
    <t xml:space="preserve">Brevis shortens time-to-market for BNPL.</t>
  </si>
  <si>
    <t xml:space="preserve">BUS-05</t>
  </si>
  <si>
    <t xml:space="preserve">vendor_offer</t>
  </si>
  <si>
    <t xml:space="preserve">Arvanta has offered an 8% fee cut if Legion commits 100% of volume for 3 more years.</t>
  </si>
  <si>
    <t xml:space="preserve">Board_Minutes_Sep2026.pdf item 4</t>
  </si>
  <si>
    <t xml:space="preserve">Real alternative, but it conflicts with the 70% vendor OKR and locks out cross-border.</t>
  </si>
  <si>
    <t xml:space="preserve">BUS-06</t>
  </si>
  <si>
    <t xml:space="preserve">revenue</t>
  </si>
  <si>
    <t xml:space="preserve">Expected fee revenue from the cross-border pipeline is about ₹1.08 crore a year (0.2% take rate on ₹45 crore a month).</t>
  </si>
  <si>
    <t xml:space="preserve">About ₹9 lakh a month of new revenue, larger than the fee saving in phase 1.</t>
  </si>
  <si>
    <t xml:space="preserve">BUS-07</t>
  </si>
  <si>
    <t xml:space="preserve">partners</t>
  </si>
  <si>
    <t xml:space="preserve">Two of Legion's top five co-lending partners already settle through Brevis Pay.</t>
  </si>
  <si>
    <t xml:space="preserve">Simpler reconciliation with key partners.</t>
  </si>
  <si>
    <t xml:space="preserve">BUS-08</t>
  </si>
  <si>
    <t xml:space="preserve">sales</t>
  </si>
  <si>
    <t xml:space="preserve">In Q2–Q3 FY27, 70% of lost SME deals cited lack of international card acceptance.</t>
  </si>
  <si>
    <t xml:space="preserve">International acceptance is a real sales blocker.</t>
  </si>
  <si>
    <t xml:space="preserve">BUS-09</t>
  </si>
  <si>
    <t xml:space="preserve">timeline</t>
  </si>
  <si>
    <t xml:space="preserve">The board wants cross-border card acceptance live by 31 March 2027.</t>
  </si>
  <si>
    <t xml:space="preserve">2027-03-31</t>
  </si>
  <si>
    <t xml:space="preserve">date</t>
  </si>
  <si>
    <t xml:space="preserve">Board_Minutes_Sep2026.pdf item 5</t>
  </si>
  <si>
    <t xml:space="preserve">Time pressure: a phased plan must still reach cross-border by end of March.</t>
  </si>
  <si>
    <t xml:space="preserve">BUS-10</t>
  </si>
  <si>
    <t xml:space="preserve">concentration_risk</t>
  </si>
  <si>
    <t xml:space="preserve">Arvanta's 14 June 2026 outage delayed ₹2.3 crore of loan collections; ₹11 lakh of wrongly charged late fees had to be waived for 1,900 borrowers.</t>
  </si>
  <si>
    <t xml:space="preserve">INR crore</t>
  </si>
  <si>
    <t xml:space="preserve">2026-06-14</t>
  </si>
  <si>
    <t xml:space="preserve">Board_Minutes_Sep2026.pdf item 6</t>
  </si>
  <si>
    <t xml:space="preserve">Shows the cost of depending on one gateway.</t>
  </si>
  <si>
    <t xml:space="preserve">BUS-11</t>
  </si>
  <si>
    <t xml:space="preserve">vendor_maturity</t>
  </si>
  <si>
    <t xml:space="preserve">Brevis Pay is 3 years old with about 1,200 merchants; Arvanta is 9 years old with about 40,000 merchants.</t>
  </si>
  <si>
    <t xml:space="preserve">merchants</t>
  </si>
  <si>
    <t xml:space="preserve">Vendor maturity risk argues for a phased, reversible move.</t>
  </si>
  <si>
    <t xml:space="preserve">CUS-01</t>
  </si>
  <si>
    <t xml:space="preserve">Customer</t>
  </si>
  <si>
    <t xml:space="preserve">complaints</t>
  </si>
  <si>
    <t xml:space="preserve">Settlement-delay complaints about Arvanta rose from 120 (July) to 210 (August) to 340 (September 2026).</t>
  </si>
  <si>
    <t xml:space="preserve">tickets / month</t>
  </si>
  <si>
    <t xml:space="preserve">support_tickets_monthly</t>
  </si>
  <si>
    <t xml:space="preserve">Complaints nearly tripled in 3 months; staying 100% on Arvanta has a customer cost.</t>
  </si>
  <si>
    <t xml:space="preserve">CUS-02</t>
  </si>
  <si>
    <t xml:space="preserve">churn_risk</t>
  </si>
  <si>
    <t xml:space="preserve">Four large merchants (M-104, M-221, M-307, M-412), together about ₹38 crore a month, have threatened to leave over settlement delays.</t>
  </si>
  <si>
    <t xml:space="preserve">Customer_Insights_Q3_2026.pdf §2</t>
  </si>
  <si>
    <t xml:space="preserve">Urgent revenue risk if settlement delays continue.</t>
  </si>
  <si>
    <t xml:space="preserve">CUS-03</t>
  </si>
  <si>
    <t xml:space="preserve">About 900 failed EMI auto-debit complaints arrive each month; in 14% of them the borrower was wrongly charged a late fee.</t>
  </si>
  <si>
    <t xml:space="preserve">Payment failures hurt borrowers directly; mandate success rate matters.</t>
  </si>
  <si>
    <t xml:space="preserve">CUS-04</t>
  </si>
  <si>
    <t xml:space="preserve">conversion</t>
  </si>
  <si>
    <t xml:space="preserve">In the Brevis pilot (2% of traffic, Aug–Sep 2026), mobile checkout conversion was 3.1 points higher than on Arvanta.</t>
  </si>
  <si>
    <t xml:space="preserve">percentage points</t>
  </si>
  <si>
    <t xml:space="preserve">Customer_Insights_Q3_2026.pdf §3</t>
  </si>
  <si>
    <t xml:space="preserve">Better mobile conversion on Brevis (mobile only; pilot sample).</t>
  </si>
  <si>
    <t xml:space="preserve">CUS-05</t>
  </si>
  <si>
    <t xml:space="preserve">During the pilot, complaints from Coral Bank and Tamra Bank customers were 40% higher on Brevis than on Arvanta.</t>
  </si>
  <si>
    <t xml:space="preserve">Keep Coral Bank and Tamra Bank traffic on Arvanta.</t>
  </si>
  <si>
    <t xml:space="preserve">CUS-06</t>
  </si>
  <si>
    <t xml:space="preserve">satisfaction</t>
  </si>
  <si>
    <t xml:space="preserve">Legion's merchant NPS is 41 against an industry benchmark of 50.</t>
  </si>
  <si>
    <t xml:space="preserve">score</t>
  </si>
  <si>
    <t xml:space="preserve">Customer_Insights_Q3_2026.pdf §1</t>
  </si>
  <si>
    <t xml:space="preserve">Merchant experience needs improving.</t>
  </si>
  <si>
    <t xml:space="preserve">CUS-07</t>
  </si>
  <si>
    <t xml:space="preserve">refunds</t>
  </si>
  <si>
    <t xml:space="preserve">Average refund turnaround is 5.2 days on Arvanta and 3.0 days on Brevis (pilot).</t>
  </si>
  <si>
    <t xml:space="preserve">days</t>
  </si>
  <si>
    <t xml:space="preserve">Faster refunds on Brevis.</t>
  </si>
  <si>
    <t xml:space="preserve">CUS-08</t>
  </si>
  <si>
    <t xml:space="preserve">accessibility</t>
  </si>
  <si>
    <t xml:space="preserve">Brevis checkout supports 11 Indian languages; Arvanta supports 4.</t>
  </si>
  <si>
    <t xml:space="preserve">languages</t>
  </si>
  <si>
    <t xml:space="preserve">Customer_Insights_Q3_2026.pdf §4</t>
  </si>
  <si>
    <t xml:space="preserve">Better reach for non-English-first customers.</t>
  </si>
  <si>
    <t xml:space="preserve">CUS-09</t>
  </si>
  <si>
    <t xml:space="preserve">churn</t>
  </si>
  <si>
    <t xml:space="preserve">Monthly merchant churn was 2.1% in September 2026, up from 1.4% in Q1 FY27.</t>
  </si>
  <si>
    <t xml:space="preserve">% per month</t>
  </si>
  <si>
    <t xml:space="preserve">Churn is rising; settlement experience is a likely driver.</t>
  </si>
  <si>
    <t xml:space="preserve">CUS-10</t>
  </si>
  <si>
    <t xml:space="preserve">grievance</t>
  </si>
  <si>
    <t xml:space="preserve">20 of 340 settlement complaints in September (about 6%) breached the 30-day grievance-resolution limit.</t>
  </si>
  <si>
    <t xml:space="preserve">Regulatory risk from slow complaint resolution; adds urgency.</t>
  </si>
  <si>
    <t xml:space="preserve">CUS-11</t>
  </si>
  <si>
    <t xml:space="preserve">reviews</t>
  </si>
  <si>
    <t xml:space="preserve">22% of 1-star app reviews in Q3 mention 'payment failed'.</t>
  </si>
  <si>
    <t xml:space="preserve">Payment reliability shapes app reputation.</t>
  </si>
  <si>
    <t xml:space="preserve">CUS-12</t>
  </si>
  <si>
    <t xml:space="preserve">support_cost</t>
  </si>
  <si>
    <t xml:space="preserve">Each support ticket costs about ₹180 to handle.</t>
  </si>
  <si>
    <t xml:space="preserve">INR</t>
  </si>
  <si>
    <t xml:space="preserve">Settlement tickets alone cost about ₹61,000 a month in September.</t>
  </si>
  <si>
    <t xml:space="preserve">LEG-01</t>
  </si>
  <si>
    <t xml:space="preserve">Legal</t>
  </si>
  <si>
    <t xml:space="preserve">exit_terms</t>
  </si>
  <si>
    <t xml:space="preserve">Arvanta MSA: a ₹25 lakh early-exit fee applies if Legion's volume with Arvanta falls below 80% (the minimum commitment) before 31 March 2028.</t>
  </si>
  <si>
    <t xml:space="preserve">Arvanta_MSA_Excerpt.pdf §9.2</t>
  </si>
  <si>
    <t xml:space="preserve">A 40% move (Arvanta at 60%) triggers the fee; a 15% first phase (Arvanta at 85%) doesn't.</t>
  </si>
  <si>
    <t xml:space="preserve">LEG-02</t>
  </si>
  <si>
    <t xml:space="preserve">Arvanta MSA: Legion must give 90 days' written notice before reducing volume.</t>
  </si>
  <si>
    <t xml:space="preserve">Arvanta_MSA_Excerpt.pdf §9.1</t>
  </si>
  <si>
    <t xml:space="preserve">Serve notice now to keep the timeline.</t>
  </si>
  <si>
    <t xml:space="preserve">LEG-03</t>
  </si>
  <si>
    <t xml:space="preserve">renewal</t>
  </si>
  <si>
    <t xml:space="preserve">Arvanta MSA renews automatically for 2 years unless notice is given 6 months before 31 March 2028.</t>
  </si>
  <si>
    <t xml:space="preserve">years</t>
  </si>
  <si>
    <t xml:space="preserve">Arvanta_MSA_Excerpt.pdf §2</t>
  </si>
  <si>
    <t xml:space="preserve">Calendar item; not decisive now.</t>
  </si>
  <si>
    <t xml:space="preserve">LEG-04</t>
  </si>
  <si>
    <t xml:space="preserve">data_location</t>
  </si>
  <si>
    <t xml:space="preserve">The Brevis draft agreement has no clause on where data is stored or processed.</t>
  </si>
  <si>
    <t xml:space="preserve">missing</t>
  </si>
  <si>
    <t xml:space="preserve">Brevis_Draft_Agreement.pdf §7</t>
  </si>
  <si>
    <t xml:space="preserve">Must add an India-only storage and processing clause before signing.</t>
  </si>
  <si>
    <t xml:space="preserve">LEG-05</t>
  </si>
  <si>
    <t xml:space="preserve">liability</t>
  </si>
  <si>
    <t xml:space="preserve">Brevis draft caps liability at 3 months' fees; Arvanta's cap is 12 months' fees.</t>
  </si>
  <si>
    <t xml:space="preserve">months of fees</t>
  </si>
  <si>
    <t xml:space="preserve">Brevis_Draft_Agreement.pdf §9; Arvanta_MSA_Excerpt.pdf §8.1</t>
  </si>
  <si>
    <t xml:space="preserve">Weaker protection with Brevis; negotiate a higher cap.</t>
  </si>
  <si>
    <t xml:space="preserve">LEG-06</t>
  </si>
  <si>
    <t xml:space="preserve">pricing_terms</t>
  </si>
  <si>
    <t xml:space="preserve">Brevis draft lets Brevis change prices with 30 days' notice.</t>
  </si>
  <si>
    <t xml:space="preserve">Brevis_Draft_Agreement.pdf Schedule 1 note</t>
  </si>
  <si>
    <t xml:space="preserve">Savings aren't secure; negotiate a 24-month price lock.</t>
  </si>
  <si>
    <t xml:space="preserve">LEG-07</t>
  </si>
  <si>
    <t xml:space="preserve">governing_law</t>
  </si>
  <si>
    <t xml:space="preserve">Brevis draft uses Singapore law with arbitration in Singapore; Arvanta's contract uses Indian law and Mumbai courts.</t>
  </si>
  <si>
    <t xml:space="preserve">Singapore</t>
  </si>
  <si>
    <t xml:space="preserve">Brevis_Draft_Agreement.pdf §12; Arvanta_MSA_Excerpt.pdf §11</t>
  </si>
  <si>
    <t xml:space="preserve">Ask for Indian law and Mumbai seat.</t>
  </si>
  <si>
    <t xml:space="preserve">LEG-08</t>
  </si>
  <si>
    <t xml:space="preserve">audit_rights</t>
  </si>
  <si>
    <t xml:space="preserve">The Brevis draft gives no audit or inspection rights to Legion or the RBI. Legion's policy and RBI outsourcing norms require them.</t>
  </si>
  <si>
    <t xml:space="preserve">Brevis_Draft_Agreement.pdf (Legal review note 2); Legion_InfoSec_Vendor_Policy.pdf §7</t>
  </si>
  <si>
    <t xml:space="preserve">Must add audit rights; a regulatory requirement.</t>
  </si>
  <si>
    <t xml:space="preserve">LEG-09</t>
  </si>
  <si>
    <t xml:space="preserve">data_protection</t>
  </si>
  <si>
    <t xml:space="preserve">Arvanta's data processing agreement (aligned to the DPDP Act 2023) is signed; Brevis has not yet provided one.</t>
  </si>
  <si>
    <t xml:space="preserve">not provided</t>
  </si>
  <si>
    <t xml:space="preserve">Arvanta_MSA_Excerpt.pdf §7.2; Brevis_Draft_Agreement.pdf (Legal review note 3)</t>
  </si>
  <si>
    <t xml:space="preserve">A signed DPA is a precondition for Brevis.</t>
  </si>
  <si>
    <t xml:space="preserve">LEG-10</t>
  </si>
  <si>
    <t xml:space="preserve">indemnity</t>
  </si>
  <si>
    <t xml:space="preserve">Brevis indemnifies only for 'gross negligence'; Arvanta indemnifies for 'negligence'.</t>
  </si>
  <si>
    <t xml:space="preserve">gross negligence</t>
  </si>
  <si>
    <t xml:space="preserve">Brevis_Draft_Agreement.pdf §10; Arvanta_MSA_Excerpt.pdf §8.2</t>
  </si>
  <si>
    <t xml:space="preserve">Narrower protection with Brevis; negotiate.</t>
  </si>
  <si>
    <t xml:space="preserve">LEG-11</t>
  </si>
  <si>
    <t xml:space="preserve">licensing</t>
  </si>
  <si>
    <t xml:space="preserve">Both Arvanta (since 2021) and Brevis (since 2025) are RBI-authorised payment aggregators.</t>
  </si>
  <si>
    <t xml:space="preserve">yes</t>
  </si>
  <si>
    <t xml:space="preserve">Brevis_Draft_Agreement.pdf recital B; Arvanta_MSA_Excerpt.pdf recital B</t>
  </si>
  <si>
    <t xml:space="preserve">No licensing barrier either way.</t>
  </si>
  <si>
    <t xml:space="preserve">SEC-01</t>
  </si>
  <si>
    <t xml:space="preserve">InfoSec &amp; Data Privacy</t>
  </si>
  <si>
    <t xml:space="preserve">Brevis Pay's fraud-scoring sub-processor, Sentrix Risk Pte Ltd, is based in Singapore and receives card data (tokenised card number, BIN and device data).</t>
  </si>
  <si>
    <t xml:space="preserve">2026-09-01</t>
  </si>
  <si>
    <t xml:space="preserve">Brevis_Security_Pack.pdf §3 sub-processor list</t>
  </si>
  <si>
    <t xml:space="preserve">BLOCKING: breaks the rule that payment data stays in India. Fix: switch on India-only fraud scoring and add an India-only clause.</t>
  </si>
  <si>
    <t xml:space="preserve">Yes</t>
  </si>
  <si>
    <t xml:space="preserve">SEC-02</t>
  </si>
  <si>
    <t xml:space="preserve">policy</t>
  </si>
  <si>
    <t xml:space="preserve">Legion policy: any vendor processing payment or card data must store and process it only in India.</t>
  </si>
  <si>
    <t xml:space="preserve">India only</t>
  </si>
  <si>
    <t xml:space="preserve">2025-04-01</t>
  </si>
  <si>
    <t xml:space="preserve">Legion_InfoSec_Vendor_Policy.pdf §4.1</t>
  </si>
  <si>
    <t xml:space="preserve">The rule behind the SEC-01 block.</t>
  </si>
  <si>
    <t xml:space="preserve">SEC-03</t>
  </si>
  <si>
    <t xml:space="preserve">certification</t>
  </si>
  <si>
    <t xml:space="preserve">Brevis Pay's latest SOC 2 Type II report covers 1 Aug 2024 to 31 Jul 2025, so it is about 14 months old.</t>
  </si>
  <si>
    <t xml:space="preserve">Brevis_Security_Pack.pdf §1</t>
  </si>
  <si>
    <t xml:space="preserve">Out of date; require a current report before go-live.</t>
  </si>
  <si>
    <t xml:space="preserve">SEC-04</t>
  </si>
  <si>
    <t xml:space="preserve">pen_test</t>
  </si>
  <si>
    <t xml:space="preserve">Brevis Pay's June 2026 penetration test has one high-severity finding (missing rate limiting on the refund API), open since 20 August 2026 (47 days).</t>
  </si>
  <si>
    <t xml:space="preserve">findings</t>
  </si>
  <si>
    <t xml:space="preserve">2026-10-06</t>
  </si>
  <si>
    <t xml:space="preserve">Brevis_Security_Pack.pdf §4</t>
  </si>
  <si>
    <t xml:space="preserve">Must be fixed and re-tested before go-live.</t>
  </si>
  <si>
    <t xml:space="preserve">SEC-05</t>
  </si>
  <si>
    <t xml:space="preserve">Brevis Pay's India-only hosting add-on moves fraud scoring to its Mumbai region and can be switched on within 3 weeks of ordering.</t>
  </si>
  <si>
    <t xml:space="preserve">weeks</t>
  </si>
  <si>
    <t xml:space="preserve">Brevis_Security_Pack.pdf §3.2</t>
  </si>
  <si>
    <t xml:space="preserve">The SEC-01 block has a practical fix.</t>
  </si>
  <si>
    <t xml:space="preserve">SEC-06</t>
  </si>
  <si>
    <t xml:space="preserve">incidents</t>
  </si>
  <si>
    <t xml:space="preserve">In October 2025, a misconfigured Brevis log bucket exposed merchant contact data (no card data). Brevis reported it to CERT-In 9 days later.</t>
  </si>
  <si>
    <t xml:space="preserve">hours</t>
  </si>
  <si>
    <t xml:space="preserve">2025-11-06</t>
  </si>
  <si>
    <t xml:space="preserve">Brevis_Security_Pack.pdf §5</t>
  </si>
  <si>
    <t xml:space="preserve">Far outside the 6-hour CERT-In rule; contract must enforce fast notification.</t>
  </si>
  <si>
    <t xml:space="preserve">SEC-07</t>
  </si>
  <si>
    <t xml:space="preserve">Legion policy: incidents must be reported to CERT-In within 6 hours, and vendors must notify Legion within 2 hours.</t>
  </si>
  <si>
    <t xml:space="preserve">Legion_InfoSec_Vendor_Policy.pdf §5</t>
  </si>
  <si>
    <t xml:space="preserve">Add a 2-hour notification clause to the Brevis contract.</t>
  </si>
  <si>
    <t xml:space="preserve">SEC-08</t>
  </si>
  <si>
    <t xml:space="preserve">Arvanta reported its November 2025 minor security incident to CERT-In within 5 hours.</t>
  </si>
  <si>
    <t xml:space="preserve">2025-11-20</t>
  </si>
  <si>
    <t xml:space="preserve">Legion_InfoSec_Vendor_Policy.pdf Appendix A</t>
  </si>
  <si>
    <t xml:space="preserve">Arvanta's track record on disclosure is good.</t>
  </si>
  <si>
    <t xml:space="preserve">SEC-09</t>
  </si>
  <si>
    <t xml:space="preserve">Brevis Pay's PCI DSS v4.0 attestation is valid until June 2027; Arvanta's is valid until February 2027.</t>
  </si>
  <si>
    <t xml:space="preserve">2027-06-30</t>
  </si>
  <si>
    <t xml:space="preserve">Brevis_Security_Pack.pdf §2; Legion_InfoSec_Vendor_Policy.pdf Appendix A</t>
  </si>
  <si>
    <t xml:space="preserve">Both compliant; Arvanta's renewal is due sooner.</t>
  </si>
  <si>
    <t xml:space="preserve">SEC-10</t>
  </si>
  <si>
    <t xml:space="preserve">access_control</t>
  </si>
  <si>
    <t xml:space="preserve">Brevis enforces MFA and single sign-on on merchant dashboards; Arvanta's MFA is optional for merchant admin users.</t>
  </si>
  <si>
    <t xml:space="preserve">enforced</t>
  </si>
  <si>
    <t xml:space="preserve">Brevis_Security_Pack.pdf §6; Legion_InfoSec_Vendor_Policy.pdf Appendix A</t>
  </si>
  <si>
    <t xml:space="preserve">Brevis is stronger on access control.</t>
  </si>
  <si>
    <t xml:space="preserve">SEC-11</t>
  </si>
  <si>
    <t xml:space="preserve">vendor_review</t>
  </si>
  <si>
    <t xml:space="preserve">Arvanta's annual vendor risk assessment was last done in November 2025 and is due again in November 2026.</t>
  </si>
  <si>
    <t xml:space="preserve">2025-11</t>
  </si>
  <si>
    <t xml:space="preserve">2025-11-15</t>
  </si>
  <si>
    <t xml:space="preserve">Calendar item; not decisive.</t>
  </si>
  <si>
    <t xml:space="preserve">SEC-12</t>
  </si>
  <si>
    <t xml:space="preserve">tokenisation</t>
  </si>
  <si>
    <t xml:space="preserve">Both gateways support RBI card-on-file tokenisation.</t>
  </si>
  <si>
    <t xml:space="preserve">supported</t>
  </si>
  <si>
    <t xml:space="preserve">Brevis_Security_Pack.pdf §6</t>
  </si>
  <si>
    <t xml:space="preserve">No difference.</t>
  </si>
  <si>
    <t xml:space="preserve">OPS-01</t>
  </si>
  <si>
    <t xml:space="preserve">Ops &amp; Engineering</t>
  </si>
  <si>
    <t xml:space="preserve">success_rate</t>
  </si>
  <si>
    <t xml:space="preserve">Overall payment success rate: Arvanta 97.8% (12 months); Brevis 97.6% (pilot, Aug–Sep 2026).</t>
  </si>
  <si>
    <t xml:space="preserve">Nearly equal overall.</t>
  </si>
  <si>
    <t xml:space="preserve">OPS-02</t>
  </si>
  <si>
    <t xml:space="preserve">At Coral Bank and Tamra Bank (18% of volume), Brevis succeeds 94.8% and 95.2% of the time, against Arvanta's 97.5%.</t>
  </si>
  <si>
    <t xml:space="preserve">Keep these two banks on Arvanta via bank-level routing.</t>
  </si>
  <si>
    <t xml:space="preserve">OPS-03</t>
  </si>
  <si>
    <t xml:space="preserve">At all other banks (82% of volume), Brevis succeeds 98.2% of the time, against Arvanta's 97.9%.</t>
  </si>
  <si>
    <t xml:space="preserve">With smart routing, Brevis improves success on most traffic.</t>
  </si>
  <si>
    <t xml:space="preserve">OPS-04</t>
  </si>
  <si>
    <t xml:space="preserve">uptime</t>
  </si>
  <si>
    <t xml:space="preserve">Uptime over the last 12 months: Arvanta 99.82%, Brevis 99.95%.</t>
  </si>
  <si>
    <t xml:space="preserve">gateway_health_monthly</t>
  </si>
  <si>
    <t xml:space="preserve">Brevis is more available.</t>
  </si>
  <si>
    <t xml:space="preserve">OPS-05</t>
  </si>
  <si>
    <t xml:space="preserve">latency</t>
  </si>
  <si>
    <t xml:space="preserve">95th-percentile payment latency: Arvanta 1.9 seconds, Brevis 1.4 seconds.</t>
  </si>
  <si>
    <t xml:space="preserve">ms</t>
  </si>
  <si>
    <t xml:space="preserve">Faster checkout on Brevis.</t>
  </si>
  <si>
    <t xml:space="preserve">OPS-06</t>
  </si>
  <si>
    <t xml:space="preserve">Major availability incidents in the last 12 months: Arvanta 3 (including a 4-hour outage on 14 June 2026); Brevis 1.</t>
  </si>
  <si>
    <t xml:space="preserve">Arvanta has been less stable.</t>
  </si>
  <si>
    <t xml:space="preserve">OPS-07</t>
  </si>
  <si>
    <t xml:space="preserve">mandates</t>
  </si>
  <si>
    <t xml:space="preserve">UPI AutoPay mandate success: Arvanta 96.1% (12 months), Brevis 97.4% (pilot).</t>
  </si>
  <si>
    <t xml:space="preserve">mandates_monthly</t>
  </si>
  <si>
    <t xml:space="preserve">Fewer failed EMI debits on Brevis.</t>
  </si>
  <si>
    <t xml:space="preserve">OPS-08</t>
  </si>
  <si>
    <t xml:space="preserve">coverage</t>
  </si>
  <si>
    <t xml:space="preserve">Brevis does not support eNACH for two small banks (about 2% of mandates); those must stay on Arvanta.</t>
  </si>
  <si>
    <t xml:space="preserve">% of mandates</t>
  </si>
  <si>
    <t xml:space="preserve">Ops_Review_Q3_2026.pdf §3</t>
  </si>
  <si>
    <t xml:space="preserve">Arvanta must stay as a fallback; another reason not to exit fully.</t>
  </si>
  <si>
    <t xml:space="preserve">OPS-09</t>
  </si>
  <si>
    <t xml:space="preserve">migration</t>
  </si>
  <si>
    <t xml:space="preserve">Internal estimate: migrating to Brevis takes 6 weeks with 4 engineers.</t>
  </si>
  <si>
    <t xml:space="preserve">Fits inside the 90-day notice period.</t>
  </si>
  <si>
    <t xml:space="preserve">OPS-10</t>
  </si>
  <si>
    <t xml:space="preserve">capacity</t>
  </si>
  <si>
    <t xml:space="preserve">Only 3 payments engineers are free from November 2026, so the 6-week plan is likely to slip to about 8 weeks.</t>
  </si>
  <si>
    <t xml:space="preserve">engineers</t>
  </si>
  <si>
    <t xml:space="preserve">Plan for 8 weeks; another reason to phase.</t>
  </si>
  <si>
    <t xml:space="preserve">OPS-11</t>
  </si>
  <si>
    <t xml:space="preserve">routing</t>
  </si>
  <si>
    <t xml:space="preserve">Legion's payment routing layer can split traffic by issuing bank and payment method.</t>
  </si>
  <si>
    <t xml:space="preserve">Ops_Review_Q3_2026.pdf §4</t>
  </si>
  <si>
    <t xml:space="preserve">Makes a phased, bank-aware move possible.</t>
  </si>
  <si>
    <t xml:space="preserve">OPS-12</t>
  </si>
  <si>
    <t xml:space="preserve">reconciliation</t>
  </si>
  <si>
    <t xml:space="preserve">Brevis offers a real-time settlement and reconciliation API; Arvanta provides daily files.</t>
  </si>
  <si>
    <t xml:space="preserve">Less manual reconciliation work on Brevis.</t>
  </si>
  <si>
    <t xml:space="preserve">OPS-13</t>
  </si>
  <si>
    <t xml:space="preserve">Brevis's sales deck claims migration can be done 'in under 4 weeks'.</t>
  </si>
  <si>
    <t xml:space="preserve">2026-08-20</t>
  </si>
  <si>
    <t xml:space="preserve">Ops_Review_Q3_2026.pdf Appendix (vendor claims)</t>
  </si>
  <si>
    <t xml:space="preserve">Vendor claim; conflicts with the internal 6-week estimate (OPS-09). Don't rely on it.</t>
  </si>
  <si>
    <t xml:space="preserve">Background facts — 54 everyday company facts</t>
  </si>
  <si>
    <t xml:space="preserve">Unrelated to the gateway decision. They test that routing and retrieval stay focused as the fact store grows.</t>
  </si>
  <si>
    <t xml:space="preserve">Adviser domain</t>
  </si>
  <si>
    <t xml:space="preserve">FIN-101</t>
  </si>
  <si>
    <t xml:space="preserve">loan_book</t>
  </si>
  <si>
    <t xml:space="preserve">Legion Capital's loan book stands at ₹8,400 crore.</t>
  </si>
  <si>
    <t xml:space="preserve">FIN-102</t>
  </si>
  <si>
    <t xml:space="preserve">asset_quality</t>
  </si>
  <si>
    <t xml:space="preserve">Gross NPA ratio is 2.9%.</t>
  </si>
  <si>
    <t xml:space="preserve">FIN-103</t>
  </si>
  <si>
    <t xml:space="preserve">margins</t>
  </si>
  <si>
    <t xml:space="preserve">Net interest margin is 9.1%.</t>
  </si>
  <si>
    <t xml:space="preserve">FIN-104</t>
  </si>
  <si>
    <t xml:space="preserve">capital</t>
  </si>
  <si>
    <t xml:space="preserve">Capital adequacy ratio is 24%.</t>
  </si>
  <si>
    <t xml:space="preserve">FIN-105</t>
  </si>
  <si>
    <t xml:space="preserve">marketing</t>
  </si>
  <si>
    <t xml:space="preserve">Marketing spend is ₹6 crore a month.</t>
  </si>
  <si>
    <t xml:space="preserve">FIN-106</t>
  </si>
  <si>
    <t xml:space="preserve">facilities</t>
  </si>
  <si>
    <t xml:space="preserve">The Pune office lease costs ₹45 lakh a year.</t>
  </si>
  <si>
    <t xml:space="preserve">INR lakh / year</t>
  </si>
  <si>
    <t xml:space="preserve">FIN-107</t>
  </si>
  <si>
    <t xml:space="preserve">borrowing</t>
  </si>
  <si>
    <t xml:space="preserve">62% of borrowings are bank term loans; 38% are NCDs.</t>
  </si>
  <si>
    <t xml:space="preserve">FIN-108</t>
  </si>
  <si>
    <t xml:space="preserve">tax</t>
  </si>
  <si>
    <t xml:space="preserve">Effective tax rate is 25.2%.</t>
  </si>
  <si>
    <t xml:space="preserve">FIN-109</t>
  </si>
  <si>
    <t xml:space="preserve">collections</t>
  </si>
  <si>
    <t xml:space="preserve">Collection efficiency was 98.4% in September 2026.</t>
  </si>
  <si>
    <t xml:space="preserve">BUS-101</t>
  </si>
  <si>
    <t xml:space="preserve">growth</t>
  </si>
  <si>
    <t xml:space="preserve">The app averages 1.2 million downloads a month.</t>
  </si>
  <si>
    <t xml:space="preserve">million / month</t>
  </si>
  <si>
    <t xml:space="preserve">BUS-102</t>
  </si>
  <si>
    <t xml:space="preserve">lending</t>
  </si>
  <si>
    <t xml:space="preserve">The average personal loan ticket is ₹85,000.</t>
  </si>
  <si>
    <t xml:space="preserve">BUS-103</t>
  </si>
  <si>
    <t xml:space="preserve">partnerships</t>
  </si>
  <si>
    <t xml:space="preserve">Legion has embedded-finance partnerships with 3 two-wheeler makers.</t>
  </si>
  <si>
    <t xml:space="preserve">BUS-104</t>
  </si>
  <si>
    <t xml:space="preserve">About 8,000 SME loans are approved each month.</t>
  </si>
  <si>
    <t xml:space="preserve">loans / month</t>
  </si>
  <si>
    <t xml:space="preserve">BUS-105</t>
  </si>
  <si>
    <t xml:space="preserve">brand</t>
  </si>
  <si>
    <t xml:space="preserve">Brand awareness among SMEs in tier-2 cities is 31%.</t>
  </si>
  <si>
    <t xml:space="preserve">BUS-106</t>
  </si>
  <si>
    <t xml:space="preserve">expansion</t>
  </si>
  <si>
    <t xml:space="preserve">Legion plans to enter 12 new cities in FY28.</t>
  </si>
  <si>
    <t xml:space="preserve">cities</t>
  </si>
  <si>
    <t xml:space="preserve">BUS-107</t>
  </si>
  <si>
    <t xml:space="preserve">Credit-line product launch is planned for Q2 FY28.</t>
  </si>
  <si>
    <t xml:space="preserve">Q2 FY28</t>
  </si>
  <si>
    <t xml:space="preserve">BUS-108</t>
  </si>
  <si>
    <t xml:space="preserve">The SME sales team has 140 people.</t>
  </si>
  <si>
    <t xml:space="preserve">people</t>
  </si>
  <si>
    <t xml:space="preserve">BUS-109</t>
  </si>
  <si>
    <t xml:space="preserve">Co-lending book is ₹1,900 crore across 5 partners.</t>
  </si>
  <si>
    <t xml:space="preserve">CUS-101</t>
  </si>
  <si>
    <t xml:space="preserve">Borrower CSAT is 4.1 out of 5.</t>
  </si>
  <si>
    <t xml:space="preserve">CUS-102</t>
  </si>
  <si>
    <t xml:space="preserve">support</t>
  </si>
  <si>
    <t xml:space="preserve">Average call handling time is 6.5 minutes.</t>
  </si>
  <si>
    <t xml:space="preserve">minutes</t>
  </si>
  <si>
    <t xml:space="preserve">CUS-103</t>
  </si>
  <si>
    <t xml:space="preserve">62% of support queries are resolved by the in-app chatbot.</t>
  </si>
  <si>
    <t xml:space="preserve">CUS-104</t>
  </si>
  <si>
    <t xml:space="preserve">app</t>
  </si>
  <si>
    <t xml:space="preserve">App store rating is 4.3 (Android) and 4.5 (iOS).</t>
  </si>
  <si>
    <t xml:space="preserve">CUS-105</t>
  </si>
  <si>
    <t xml:space="preserve">onboarding</t>
  </si>
  <si>
    <t xml:space="preserve">Loan application drop-off at the KYC step is 18%.</t>
  </si>
  <si>
    <t xml:space="preserve">CUS-106</t>
  </si>
  <si>
    <t xml:space="preserve">communication</t>
  </si>
  <si>
    <t xml:space="preserve">Borrowers receive repayment reminders by SMS and WhatsApp 3 days before the due date.</t>
  </si>
  <si>
    <t xml:space="preserve">CUS-107</t>
  </si>
  <si>
    <t xml:space="preserve">Support is available in 6 languages.</t>
  </si>
  <si>
    <t xml:space="preserve">CUS-108</t>
  </si>
  <si>
    <t xml:space="preserve">Loan-pricing complaints average 150 a month.</t>
  </si>
  <si>
    <t xml:space="preserve">LEG-101</t>
  </si>
  <si>
    <t xml:space="preserve">litigation</t>
  </si>
  <si>
    <t xml:space="preserve">There are 14 pending civil cases, none material.</t>
  </si>
  <si>
    <t xml:space="preserve">cases</t>
  </si>
  <si>
    <t xml:space="preserve">LEG-102</t>
  </si>
  <si>
    <t xml:space="preserve">ip</t>
  </si>
  <si>
    <t xml:space="preserve">The 'Legion Pay' trademark is registered in India.</t>
  </si>
  <si>
    <t xml:space="preserve">registered</t>
  </si>
  <si>
    <t xml:space="preserve">LEG-103</t>
  </si>
  <si>
    <t xml:space="preserve">regulatory</t>
  </si>
  <si>
    <t xml:space="preserve">Legion's last RBI inspection (2025) had 3 minor observations, all closed.</t>
  </si>
  <si>
    <t xml:space="preserve">observations</t>
  </si>
  <si>
    <t xml:space="preserve">LEG-104</t>
  </si>
  <si>
    <t xml:space="preserve">contracts</t>
  </si>
  <si>
    <t xml:space="preserve">The office lease in Mumbai runs until 2029.</t>
  </si>
  <si>
    <t xml:space="preserve">2029</t>
  </si>
  <si>
    <t xml:space="preserve">LEG-105</t>
  </si>
  <si>
    <t xml:space="preserve">Digital lending guidelines require a key fact statement for every loan; compliance is 100%.</t>
  </si>
  <si>
    <t xml:space="preserve">LEG-106</t>
  </si>
  <si>
    <t xml:space="preserve">The cloud hosting contract renews in July 2027.</t>
  </si>
  <si>
    <t xml:space="preserve">2027-07</t>
  </si>
  <si>
    <t xml:space="preserve">LEG-107</t>
  </si>
  <si>
    <t xml:space="preserve">employment</t>
  </si>
  <si>
    <t xml:space="preserve">Standard employee notice period is 60 days.</t>
  </si>
  <si>
    <t xml:space="preserve">LEG-108</t>
  </si>
  <si>
    <t xml:space="preserve">Fair practices code was last reviewed by the board in May 2026.</t>
  </si>
  <si>
    <t xml:space="preserve">2026-05</t>
  </si>
  <si>
    <t xml:space="preserve">SEC-101</t>
  </si>
  <si>
    <t xml:space="preserve">awareness</t>
  </si>
  <si>
    <t xml:space="preserve">Phishing simulation click rate is 7%.</t>
  </si>
  <si>
    <t xml:space="preserve">SEC-102</t>
  </si>
  <si>
    <t xml:space="preserve">endpoint</t>
  </si>
  <si>
    <t xml:space="preserve">99% of laptops have full-disk encryption.</t>
  </si>
  <si>
    <t xml:space="preserve">SEC-103</t>
  </si>
  <si>
    <t xml:space="preserve">Legion is ISO 27001 certified until March 2028.</t>
  </si>
  <si>
    <t xml:space="preserve">2028-03</t>
  </si>
  <si>
    <t xml:space="preserve">SEC-104</t>
  </si>
  <si>
    <t xml:space="preserve">access</t>
  </si>
  <si>
    <t xml:space="preserve">Privileged access reviews run every quarter.</t>
  </si>
  <si>
    <t xml:space="preserve">quarterly</t>
  </si>
  <si>
    <t xml:space="preserve">SEC-105</t>
  </si>
  <si>
    <t xml:space="preserve">vulnerabilities</t>
  </si>
  <si>
    <t xml:space="preserve">Critical patching SLA is 7 days; 96% met last quarter.</t>
  </si>
  <si>
    <t xml:space="preserve">SEC-106</t>
  </si>
  <si>
    <t xml:space="preserve">backup</t>
  </si>
  <si>
    <t xml:space="preserve">Database backups are tested monthly; last restore test passed on 2 Sep 2026.</t>
  </si>
  <si>
    <t xml:space="preserve">passed</t>
  </si>
  <si>
    <t xml:space="preserve">SEC-107</t>
  </si>
  <si>
    <t xml:space="preserve">data</t>
  </si>
  <si>
    <t xml:space="preserve">Customer data in Legion's own systems is stored in Mumbai and Hyderabad cloud regions.</t>
  </si>
  <si>
    <t xml:space="preserve">Mumbai, Hyderabad</t>
  </si>
  <si>
    <t xml:space="preserve">SEC-108</t>
  </si>
  <si>
    <t xml:space="preserve">Security training completion is 94%.</t>
  </si>
  <si>
    <t xml:space="preserve">OPS-101</t>
  </si>
  <si>
    <t xml:space="preserve">platform</t>
  </si>
  <si>
    <t xml:space="preserve">Loan origination system uptime was 99.97% last quarter.</t>
  </si>
  <si>
    <t xml:space="preserve">OPS-102</t>
  </si>
  <si>
    <t xml:space="preserve">engineering</t>
  </si>
  <si>
    <t xml:space="preserve">Engineering headcount is 120.</t>
  </si>
  <si>
    <t xml:space="preserve">OPS-103</t>
  </si>
  <si>
    <t xml:space="preserve">hr</t>
  </si>
  <si>
    <t xml:space="preserve">Annual employee attrition is 18%.</t>
  </si>
  <si>
    <t xml:space="preserve">OPS-104</t>
  </si>
  <si>
    <t xml:space="preserve">infrastructure</t>
  </si>
  <si>
    <t xml:space="preserve">Monthly cloud spend is ₹1.4 crore.</t>
  </si>
  <si>
    <t xml:space="preserve">OPS-105</t>
  </si>
  <si>
    <t xml:space="preserve">delivery</t>
  </si>
  <si>
    <t xml:space="preserve">Release frequency is twice a week.</t>
  </si>
  <si>
    <t xml:space="preserve">per week</t>
  </si>
  <si>
    <t xml:space="preserve">OPS-106</t>
  </si>
  <si>
    <t xml:space="preserve">The data warehouse holds 42 TB.</t>
  </si>
  <si>
    <t xml:space="preserve">TB</t>
  </si>
  <si>
    <t xml:space="preserve">OPS-107</t>
  </si>
  <si>
    <t xml:space="preserve">support_ops</t>
  </si>
  <si>
    <t xml:space="preserve">The call centre runs in-house in Pune with 210 agents.</t>
  </si>
  <si>
    <t xml:space="preserve">agents</t>
  </si>
  <si>
    <t xml:space="preserve">OPS-108</t>
  </si>
  <si>
    <t xml:space="preserve">Mean time to recover from P1 incidents is 48 minutes.</t>
  </si>
  <si>
    <t xml:space="preserve">OPS-109</t>
  </si>
  <si>
    <t xml:space="preserve">kyc</t>
  </si>
  <si>
    <t xml:space="preserve">Video KYC average completion time is 4 minutes.</t>
  </si>
  <si>
    <t xml:space="preserve">OPS-110</t>
  </si>
  <si>
    <t xml:space="preserve">vendors</t>
  </si>
  <si>
    <t xml:space="preserve">Legion uses 3 credit bureaus for underwriting.</t>
  </si>
  <si>
    <t xml:space="preserve">bureaus</t>
  </si>
  <si>
    <t xml:space="preserve">OPS-111</t>
  </si>
  <si>
    <t xml:space="preserve">Field collections cover 85 cities.</t>
  </si>
  <si>
    <t xml:space="preserve">FIN-110</t>
  </si>
  <si>
    <t xml:space="preserve">payments_ops</t>
  </si>
  <si>
    <t xml:space="preserve">Payments operations team costs ₹70 lakh a month.</t>
  </si>
  <si>
    <t xml:space="preserve">Adviser registry</t>
  </si>
  <si>
    <t xml:space="preserve">Mirrors config/advisers.yaml. The harness embeds the capability statements to decide who joins each decision.</t>
  </si>
  <si>
    <t xml:space="preserve">ID</t>
  </si>
  <si>
    <t xml:space="preserve">Name</t>
  </si>
  <si>
    <t xml:space="preserve">Lens</t>
  </si>
  <si>
    <t xml:space="preserve">Capability statements (embedded for routing)</t>
  </si>
  <si>
    <t xml:space="preserve">Criteria scored</t>
  </si>
  <si>
    <t xml:space="preserve">Can block?</t>
  </si>
  <si>
    <t xml:space="preserve">Calculates</t>
  </si>
  <si>
    <t xml:space="preserve">Planted facts</t>
  </si>
  <si>
    <t xml:space="preserve">finance</t>
  </si>
  <si>
    <t xml:space="preserve">Is this decision worth it in money terms, after every cost and benefit?</t>
  </si>
  <si>
    <t xml:space="preserve">• Costs, fees, pricing and savings
• Budgets, cost-to-income ratio, return on investment and payback
• Cash flow, settlement timing, funding cost and treasury
• One-time investment, migration and exit costs
• Revenue forecasts and unit economics
• Headcount, office and infrastructure spend</t>
  </si>
  <si>
    <t xml:space="preserve">Cost</t>
  </si>
  <si>
    <t xml:space="preserve">No</t>
  </si>
  <si>
    <t xml:space="preserve">• Monthly cost on each option
• Gross and net monthly saving
• One-time costs (migration, exit fees)
• Payback period in months
• Effect of phasing on the numbers</t>
  </si>
  <si>
    <t xml:space="preserve">business</t>
  </si>
  <si>
    <t xml:space="preserve">Does this move the company toward its strategy and growth goals?</t>
  </si>
  <si>
    <t xml:space="preserve">• Company strategy, OKRs and board priorities
• Growth, new products, new markets and partnerships
• Competitive position and market trends
• Sales pipeline and new revenue opportunities
• Vendor strategy and concentration risk
• Time-to-market and deadlines</t>
  </si>
  <si>
    <t xml:space="preserve">Growth</t>
  </si>
  <si>
    <t xml:space="preserve">• Revenue unlocked
• Fit with each OKR
• Cost of delay
• Concentration after the move</t>
  </si>
  <si>
    <t xml:space="preserve">customer</t>
  </si>
  <si>
    <t xml:space="preserve">What happens to merchants and borrowers?</t>
  </si>
  <si>
    <t xml:space="preserve">• Merchant and borrower experience
• Complaints, support tickets and grievance deadlines
• Checkout conversion, refunds and payment failures customers feel
• Churn, NPS, satisfaction and app reviews
• Language and accessibility
• Customer communication and support cost</t>
  </si>
  <si>
    <t xml:space="preserve">Customer impact</t>
  </si>
  <si>
    <t xml:space="preserve">• Complaint trend
• Revenue at risk from churn
• Expected change in conversion and refunds</t>
  </si>
  <si>
    <t xml:space="preserve">legal</t>
  </si>
  <si>
    <t xml:space="preserve">Are we protected and compliant under the contracts and the law?</t>
  </si>
  <si>
    <t xml:space="preserve">• Contracts, terms, notice periods, exit fees and renewals
• Liability, indemnity, governing law and disputes
• Regulatory compliance: RBI rules, licences, outsourcing norms
• Data protection law and data processing agreements
• Partner, vendor and outsourcing agreements</t>
  </si>
  <si>
    <t xml:space="preserve">Security &amp; compliance</t>
  </si>
  <si>
    <t xml:space="preserve">• Exit fee trigger for each option
• Notice deadlines
• Clauses that must change before signing</t>
  </si>
  <si>
    <t xml:space="preserve">infosec</t>
  </si>
  <si>
    <t xml:space="preserve">Is our data and our customers' data safe, and does it stay where the rules say?</t>
  </si>
  <si>
    <t xml:space="preserve">• Information security posture of vendors and systems
• Where data is stored and processed; data localisation
• Privacy, personal data sharing and the DPDP Act
• Certifications: SOC 2, PCI DSS, ISO 27001
• Security incidents, breach reporting and CERT-In
• Access control, encryption and tokenisation
• Third-party, outsourcing and cloud vendor risk</t>
  </si>
  <si>
    <t xml:space="preserve">• Risk rating per area
• Blocking findings and their fixes
• Pre-go-live security conditions</t>
  </si>
  <si>
    <t xml:space="preserve">ops</t>
  </si>
  <si>
    <t xml:space="preserve">Will it work reliably, and can we deliver it?</t>
  </si>
  <si>
    <t xml:space="preserve">• System reliability, uptime, success rates and latency
• Incidents and outages
• Migration effort, engineering capacity and delivery timelines
• Integrations, routing and reconciliation
• Infrastructure, cloud regions and data centres
• Operational processes and call-centre operations</t>
  </si>
  <si>
    <t xml:space="preserve">• Success rate by bank segment
• Expected success with bank-level routing
• Realistic migration timeline</t>
  </si>
  <si>
    <t xml:space="preserve">Total</t>
  </si>
  <si>
    <t xml:space="preserve">Routing tests for the agentic harness</t>
  </si>
  <si>
    <t xml:space="preserve">A test passes if every 'must include' adviser is selected and no 'must exclude' adviser is. 'Acceptable' may or may not be selected.</t>
  </si>
  <si>
    <t xml:space="preserve">Test</t>
  </si>
  <si>
    <t xml:space="preserve">Decision brief</t>
  </si>
  <si>
    <t xml:space="preserve">Must include</t>
  </si>
  <si>
    <t xml:space="preserve">Acceptable</t>
  </si>
  <si>
    <t xml:space="preserve">Must exclude</t>
  </si>
  <si>
    <t xml:space="preserve">Why</t>
  </si>
  <si>
    <t xml:space="preserve">RT-01</t>
  </si>
  <si>
    <t xml:space="preserve">Should we move 40% of our payment volume from Arvanta Payments to Brevis Pay?</t>
  </si>
  <si>
    <t xml:space="preserve">Finance, Business, Customer, Legal, InfoSec &amp; Data Privacy, Ops &amp; Engineering</t>
  </si>
  <si>
    <t xml:space="preserve">Main demo decision: every adviser has something to add</t>
  </si>
  <si>
    <t xml:space="preserve">RT-02</t>
  </si>
  <si>
    <t xml:space="preserve">Should we hire 20 more engineers for the lending platform next quarter?</t>
  </si>
  <si>
    <t xml:space="preserve">Finance, Business, Ops &amp; Engineering</t>
  </si>
  <si>
    <t xml:space="preserve">InfoSec &amp; Data Privacy, Customer</t>
  </si>
  <si>
    <t xml:space="preserve">Leaves out advisers with nothing to add</t>
  </si>
  <si>
    <t xml:space="preserve">RT-03</t>
  </si>
  <si>
    <t xml:space="preserve">Should we share anonymised borrower repayment data with a co-lending partner?</t>
  </si>
  <si>
    <t xml:space="preserve">InfoSec &amp; Data Privacy, Legal, Business</t>
  </si>
  <si>
    <t xml:space="preserve">Data sharing must bring in InfoSec and Legal</t>
  </si>
  <si>
    <t xml:space="preserve">RT-04</t>
  </si>
  <si>
    <t xml:space="preserve">Should we cut the personal-loan interest rate by 1 percentage point for prime borrowers?</t>
  </si>
  <si>
    <t xml:space="preserve">Finance, Business, Customer</t>
  </si>
  <si>
    <t xml:space="preserve">InfoSec &amp; Data Privacy, Ops &amp; Engineering</t>
  </si>
  <si>
    <t xml:space="preserve">Pricing decision</t>
  </si>
  <si>
    <t xml:space="preserve">RT-05</t>
  </si>
  <si>
    <t xml:space="preserve">Should we move our data warehouse to a new cloud region?</t>
  </si>
  <si>
    <t xml:space="preserve">InfoSec &amp; Data Privacy, Ops &amp; Engineering, Finance</t>
  </si>
  <si>
    <t xml:space="preserve">Infrastructure and data location</t>
  </si>
  <si>
    <t xml:space="preserve">RT-06</t>
  </si>
  <si>
    <t xml:space="preserve">Should we launch Legion Pay Later (buy now, pay later) at checkout?</t>
  </si>
  <si>
    <t xml:space="preserve">Business, Finance, Customer, Legal</t>
  </si>
  <si>
    <t xml:space="preserve">New product</t>
  </si>
  <si>
    <t xml:space="preserve">RT-07</t>
  </si>
  <si>
    <t xml:space="preserve">Should we outsource customer support to a third-party call centre?</t>
  </si>
  <si>
    <t xml:space="preserve">Customer, Ops &amp; Engineering, Finance, InfoSec &amp; Data Privacy, Legal</t>
  </si>
  <si>
    <t xml:space="preserve">Outsourcing with customer data</t>
  </si>
  <si>
    <t xml:space="preserve">RT-08</t>
  </si>
  <si>
    <t xml:space="preserve">Should we open a new office in Pune?</t>
  </si>
  <si>
    <t xml:space="preserve">Finance, Ops &amp; Engineering, Business</t>
  </si>
  <si>
    <t xml:space="preserve">Facilities decision</t>
  </si>
  <si>
    <t xml:space="preserve">Moderator tests</t>
  </si>
  <si>
    <t xml:space="preserve">Claim cases: KEEP / FLAG / STRIKE. Memo cases: PASS / INCOMPLETE / WRONG. Two control cases (MT-05, MT-14) check the moderator doesn't over-strike.</t>
  </si>
  <si>
    <t xml:space="preserve">Stage</t>
  </si>
  <si>
    <t xml:space="preserve">From</t>
  </si>
  <si>
    <t xml:space="preserve">Input</t>
  </si>
  <si>
    <t xml:space="preserve">Cited evidence</t>
  </si>
  <si>
    <t xml:space="preserve">Expected</t>
  </si>
  <si>
    <t xml:space="preserve">MT-01</t>
  </si>
  <si>
    <t xml:space="preserve">claim</t>
  </si>
  <si>
    <t xml:space="preserve">Brevis would save us 18% on fees.</t>
  </si>
  <si>
    <t xml:space="preserve">STRIKE</t>
  </si>
  <si>
    <t xml:space="preserve">FIN-12 is superseded by FIN-03 (final quote: 12%). Superseded facts can't support a claim.</t>
  </si>
  <si>
    <t xml:space="preserve">MT-02</t>
  </si>
  <si>
    <t xml:space="preserve">Ops</t>
  </si>
  <si>
    <t xml:space="preserve">Migration to Brevis can be done in under 4 weeks.</t>
  </si>
  <si>
    <t xml:space="preserve">FLAG</t>
  </si>
  <si>
    <t xml:space="preserve">Low-reliability vendor claim that conflicts with the internal 6-week estimate (OPS-09).</t>
  </si>
  <si>
    <t xml:space="preserve">MT-03</t>
  </si>
  <si>
    <t xml:space="preserve">Brevis has much better uptime than Arvanta.</t>
  </si>
  <si>
    <t xml:space="preserve">No evidence cited. (The supporting fact OPS-04 exists but the claim must cite it.)</t>
  </si>
  <si>
    <t xml:space="preserve">MT-04</t>
  </si>
  <si>
    <t xml:space="preserve">Moving 40% saves ₹18 lakh a month in fees.</t>
  </si>
  <si>
    <t xml:space="preserve">FIN-02, FIN-03</t>
  </si>
  <si>
    <t xml:space="preserve">Cited facts give ₹120 − ₹105.6 = ₹14.4 lakh, not ₹18 lakh. Number check fails.</t>
  </si>
  <si>
    <t xml:space="preserve">MT-05</t>
  </si>
  <si>
    <t xml:space="preserve">Brevis's overall success rate is slightly lower than Arvanta's.</t>
  </si>
  <si>
    <t xml:space="preserve">KEEP</t>
  </si>
  <si>
    <t xml:space="preserve">Control case: the claim matches the evidence (97.6% vs 97.8%). The moderator must not over-strike.</t>
  </si>
  <si>
    <t xml:space="preserve">MT-06</t>
  </si>
  <si>
    <t xml:space="preserve">Moving 40% avoids Arvanta's exit fee.</t>
  </si>
  <si>
    <t xml:space="preserve">Contradicts LEG-01: a 40% move leaves Arvanta at 60%, below the 80% minimum, so the ₹25 lakh fee applies.</t>
  </si>
  <si>
    <t xml:space="preserve">MT-07</t>
  </si>
  <si>
    <t xml:space="preserve">InfoSec</t>
  </si>
  <si>
    <t xml:space="preserve">BLOCKING: card data goes to a Singapore sub-processor.</t>
  </si>
  <si>
    <t xml:space="preserve">SEC-01, SEC-02</t>
  </si>
  <si>
    <t xml:space="preserve">Blocking finding with valid evidence. The moderator can't strike it, even if another adviser disputes it.</t>
  </si>
  <si>
    <t xml:space="preserve">MT-08</t>
  </si>
  <si>
    <t xml:space="preserve">Brevis improves checkout conversion by 3.1 points across all channels.</t>
  </si>
  <si>
    <t xml:space="preserve">Over-generalised: the evidence covers mobile checkout in a 2% pilot only.</t>
  </si>
  <si>
    <t xml:space="preserve">MT-09</t>
  </si>
  <si>
    <t xml:space="preserve">memo</t>
  </si>
  <si>
    <t xml:space="preserve">Scribe</t>
  </si>
  <si>
    <t xml:space="preserve">Memo recommends moving 40% now, with no mention of the Singapore sub-processor.</t>
  </si>
  <si>
    <t xml:space="preserve">WRONG</t>
  </si>
  <si>
    <t xml:space="preserve">An unresolved blocking finding is ignored and not formally overridden.</t>
  </si>
  <si>
    <t xml:space="preserve">MT-10</t>
  </si>
  <si>
    <t xml:space="preserve">Memo addresses cost, security, reliability and growth but says nothing about customer impact.</t>
  </si>
  <si>
    <t xml:space="preserve">INCOMPLETE</t>
  </si>
  <si>
    <t xml:space="preserve">A weighted criterion (Customer impact, 10%) is missing.</t>
  </si>
  <si>
    <t xml:space="preserve">MT-11</t>
  </si>
  <si>
    <t xml:space="preserve">Memo says payback is about 3 months.</t>
  </si>
  <si>
    <t xml:space="preserve">FIN-03, FIN-04, FIN-05, LEG-01</t>
  </si>
  <si>
    <t xml:space="preserve">Ignores the ₹40 lakh migration cost and the add-on. Correct: (₹40L + ₹25L) / ₹10.4L ≈ 6.3 months for the 40% plan.</t>
  </si>
  <si>
    <t xml:space="preserve">MT-12</t>
  </si>
  <si>
    <t xml:space="preserve">Memo has no dissent section although Legal argued for waiting.</t>
  </si>
  <si>
    <t xml:space="preserve">Dissent from a selected adviser must be recorded.</t>
  </si>
  <si>
    <t xml:space="preserve">MT-13</t>
  </si>
  <si>
    <t xml:space="preserve">Memo double-counts the exit fee as ₹50 lakh.</t>
  </si>
  <si>
    <t xml:space="preserve">The exit fee is ₹25 lakh, one-time.</t>
  </si>
  <si>
    <t xml:space="preserve">MT-14</t>
  </si>
  <si>
    <t xml:space="preserve">Memo matches the expected outcome: conditional, phased move with all conditions and dissent.</t>
  </si>
  <si>
    <t xml:space="preserve">PASS</t>
  </si>
  <si>
    <t xml:space="preserve">Control case: a correct memo must pass first time.</t>
  </si>
  <si>
    <t xml:space="preserve">Expected outcome for the demo decision</t>
  </si>
  <si>
    <t xml:space="preserve">Conditional, phased move. Do not move 40% now. Phase 1: move about 15% of volume to Brevis Pay (excluding Coral Bank and Tamra Bank traffic and the eNACH banks Brevis can't serve), only after Brevis (1) contractually commits to India-only processing and switches on its India-only fraud-scoring add-on, (2) closes the open high-severity pen test finding, (3) provides a current SOC 2 Type II report, and (4) accepts contract fixes: Indian governing law, audit rights for Legion and RBI, a 24-month price lock, a signed DPA and 2-hour incident notification. Phase 1 keeps Arvanta at 85%, so no exit fee. Serve 90 days' notice to Arvanta now. Phase 2: scale to 40% after a 60-day review (target before 31 Mar 2027 to meet the 70% vendor OKR and the board's cross-border deadline), accepting the ₹25 lakh exit fee, which the net monthly benefit pays back with the migration cost in about 6 months. Dissent to record: Legal (weaker Brevis contract terms) and InfoSec (vendor maturity, slow 2025 breach disclosure) favour waiting; Business favours moving faster.</t>
  </si>
  <si>
    <t xml:space="preserve">Criterion</t>
  </si>
  <si>
    <t xml:space="preserve">Weight</t>
  </si>
  <si>
    <t xml:space="preserve">Scored by</t>
  </si>
  <si>
    <t xml:space="preserve">What good looks like</t>
  </si>
  <si>
    <t xml:space="preserve">Lower total cost after any fixes needed</t>
  </si>
  <si>
    <t xml:space="preserve">InfoSec &amp; Data Privacy, Legal</t>
  </si>
  <si>
    <t xml:space="preserve">Meets every data, security and regulatory rule; a blocking finding overrides the score</t>
  </si>
  <si>
    <t xml:space="preserve">No drop in payment success rate or uptime</t>
  </si>
  <si>
    <t xml:space="preserve">Unlocks new merchants and products; meets the vendor-concentration OKR</t>
  </si>
  <si>
    <t xml:space="preserve">Fewer complaints, faster settlements and refunds, lower churn</t>
  </si>
  <si>
    <t xml:space="preserve">Colosseum tracker — Day 1 done, Days 2–11</t>
  </si>
  <si>
    <t xml:space="preserve">Fill in Status (dropdown) and Notes. Each day totals 120 minutes.</t>
  </si>
  <si>
    <t xml:space="preserve">Day</t>
  </si>
  <si>
    <t xml:space="preserve">Milestone</t>
  </si>
  <si>
    <t xml:space="preserve">Task</t>
  </si>
  <si>
    <t xml:space="preserve">Minutes</t>
  </si>
  <si>
    <t xml:space="preserve">Status</t>
  </si>
  <si>
    <t xml:space="preserve">Notes / next step</t>
  </si>
  <si>
    <t xml:space="preserve">Setup done</t>
  </si>
  <si>
    <t xml:space="preserve">Read the competition rules and fill in the Setup tab</t>
  </si>
  <si>
    <t xml:space="preserve">Done</t>
  </si>
  <si>
    <t xml:space="preserve">Set up Google Cloud (project, APIs, Firestore, BigQuery, bucket)</t>
  </si>
  <si>
    <t xml:space="preserve">Test Gemini Flash, Pro and Embedding 001; note model IDs</t>
  </si>
  <si>
    <t xml:space="preserve">Data ready</t>
  </si>
  <si>
    <t xml:space="preserve">2.1 Review the knowledge pack</t>
  </si>
  <si>
    <t xml:space="preserve">Not started</t>
  </si>
  <si>
    <t xml:space="preserve">2.2 Load data and documents into Google Cloud</t>
  </si>
  <si>
    <t xml:space="preserve">2.3 Set up Agent Search and test 5 questions</t>
  </si>
  <si>
    <t xml:space="preserve">2.4 Project skeleton in Antigravity, committed</t>
  </si>
  <si>
    <t xml:space="preserve">Tools work</t>
  </si>
  <si>
    <t xml:space="preserve">3.1 Settings, registry, ledger</t>
  </si>
  <si>
    <t xml:space="preserve">3.2 Fact store, approved queries, document search</t>
  </si>
  <si>
    <t xml:space="preserve">3.3 The four adviser tools</t>
  </si>
  <si>
    <t xml:space="preserve">3.4 Unit tests and manual checks</t>
  </si>
  <si>
    <t xml:space="preserve">Advisers work</t>
  </si>
  <si>
    <t xml:space="preserve">4.1 Adviser factory + Finance</t>
  </si>
  <si>
    <t xml:space="preserve">4.2 All six, in parallel, fail-soft</t>
  </si>
  <si>
    <t xml:space="preserve">4.3 Planted-fact eval</t>
  </si>
  <si>
    <t xml:space="preserve">4.4 Tune adviser prompts</t>
  </si>
  <si>
    <t xml:space="preserve">Routing works</t>
  </si>
  <si>
    <t xml:space="preserve">5.1 Routing query, embeddings, cache</t>
  </si>
  <si>
    <t xml:space="preserve">5.2 Router selection and logging</t>
  </si>
  <si>
    <t xml:space="preserve">5.3 Routing eval (8 briefs) and tuning</t>
  </si>
  <si>
    <t xml:space="preserve">5.4 Evidence packs with aggregation</t>
  </si>
  <si>
    <t xml:space="preserve">Engine works</t>
  </si>
  <si>
    <t xml:space="preserve">6.1 Claim checks (code + LLM)</t>
  </si>
  <si>
    <t xml:space="preserve">6.2 Scorecard (code) with tests</t>
  </si>
  <si>
    <t xml:space="preserve">6.3 Scribe</t>
  </si>
  <si>
    <t xml:space="preserve">6.4 Final-answer check loop + pipeline</t>
  </si>
  <si>
    <t xml:space="preserve">Evals pass</t>
  </si>
  <si>
    <t xml:space="preserve">7.1 Moderator eval (14 cases)</t>
  </si>
  <si>
    <t xml:space="preserve">7.2 Full flow ×3 vs expected outcome</t>
  </si>
  <si>
    <t xml:space="preserve">7.3 Background runs with progress</t>
  </si>
  <si>
    <t xml:space="preserve">7.4 API endpoints</t>
  </si>
  <si>
    <t xml:space="preserve">Usable on laptop</t>
  </si>
  <si>
    <t xml:space="preserve">8.1 Brief + 'Why these advisers' panel</t>
  </si>
  <si>
    <t xml:space="preserve">8.2 Debate grid</t>
  </si>
  <si>
    <t xml:space="preserve">8.3 Memo, verdict badge, approve/override</t>
  </si>
  <si>
    <t xml:space="preserve">Public URL</t>
  </si>
  <si>
    <t xml:space="preserve">9.1 Deploy to Cloud Run with a restricted service account</t>
  </si>
  <si>
    <t xml:space="preserve">9.2 Test the live URL and fix</t>
  </si>
  <si>
    <t xml:space="preserve">Video recorded</t>
  </si>
  <si>
    <t xml:space="preserve">10.1 Scale test with 1,000+ facts</t>
  </si>
  <si>
    <t xml:space="preserve">10.2 Fix bugs and tune</t>
  </si>
  <si>
    <t xml:space="preserve">10.3 Record the demo video</t>
  </si>
  <si>
    <t xml:space="preserve">Submitted</t>
  </si>
  <si>
    <t xml:space="preserve">11.1 Edit the video</t>
  </si>
  <si>
    <t xml:space="preserve">11.2 README</t>
  </si>
  <si>
    <t xml:space="preserve">11.3 Deck in Google Slides</t>
  </si>
  <si>
    <t xml:space="preserve">11.4 Submission text and rubric check</t>
  </si>
  <si>
    <t xml:space="preserve">11.5 Prepare for judging and submit</t>
  </si>
  <si>
    <t xml:space="preserve">Total minutes, Days 2–11</t>
  </si>
  <si>
    <t xml:space="preserve">Tasks done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</si>
</sst>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%"/>
    <numFmt numFmtId="167" formatCode="0.000%"/>
    <numFmt numFmtId="168" formatCode="0.0"/>
    <numFmt numFmtId="169" formatCode="#,##0"/>
    <numFmt numFmtId="170" formatCode="0.0%"/>
    <numFmt numFmtId="171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8ECF2"/>
        <bgColor rgb="FFF6F7F9"/>
      </patternFill>
    </fill>
    <fill>
      <patternFill patternType="solid">
        <fgColor rgb="FF1F2A3A"/>
        <bgColor rgb="FF333300"/>
      </patternFill>
    </fill>
    <fill>
      <patternFill patternType="solid">
        <fgColor rgb="FFF6F7F9"/>
        <bgColor rgb="FFFFFFFF"/>
      </patternFill>
    </fill>
    <fill>
      <patternFill patternType="solid">
        <fgColor rgb="FFF8D7DA"/>
        <bgColor rgb="FFE8EC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A3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6F7F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6F7F9"/>
      <rgbColor rgb="FFE8ECF2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5"/>
      <c r="B6" s="4"/>
    </row>
    <row r="7" customFormat="false" ht="15" hidden="false" customHeight="false" outlineLevel="0" collapsed="false">
      <c r="A7" s="6" t="s">
        <v>6</v>
      </c>
      <c r="B7" s="7" t="s">
        <v>7</v>
      </c>
    </row>
    <row r="8" customFormat="false" ht="23.85" hidden="false" customHeight="false" outlineLevel="0" collapsed="false">
      <c r="A8" s="3" t="s">
        <v>8</v>
      </c>
      <c r="B8" s="4" t="s">
        <v>9</v>
      </c>
    </row>
    <row r="9" customFormat="false" ht="23.85" hidden="false" customHeight="false" outlineLevel="0" collapsed="false">
      <c r="A9" s="3" t="s">
        <v>10</v>
      </c>
      <c r="B9" s="4" t="s">
        <v>11</v>
      </c>
    </row>
    <row r="10" customFormat="false" ht="23.85" hidden="false" customHeight="false" outlineLevel="0" collapsed="false">
      <c r="A10" s="3" t="s">
        <v>12</v>
      </c>
      <c r="B10" s="4" t="s">
        <v>13</v>
      </c>
    </row>
    <row r="11" customFormat="false" ht="23.8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3" t="s">
        <v>18</v>
      </c>
      <c r="B13" s="4" t="s">
        <v>19</v>
      </c>
    </row>
    <row r="14" customFormat="false" ht="15" hidden="false" customHeight="false" outlineLevel="0" collapsed="false">
      <c r="A14" s="3" t="s">
        <v>20</v>
      </c>
      <c r="B14" s="4" t="s">
        <v>21</v>
      </c>
    </row>
    <row r="15" customFormat="false" ht="15" hidden="false" customHeight="false" outlineLevel="0" collapsed="false">
      <c r="A15" s="3" t="s">
        <v>22</v>
      </c>
      <c r="B15" s="4" t="s">
        <v>23</v>
      </c>
    </row>
    <row r="16" customFormat="false" ht="15" hidden="false" customHeight="false" outlineLevel="0" collapsed="false">
      <c r="A16" s="3"/>
      <c r="B16" s="4"/>
    </row>
    <row r="17" customFormat="false" ht="15" hidden="false" customHeight="false" outlineLevel="0" collapsed="false">
      <c r="A17" s="3" t="s">
        <v>24</v>
      </c>
      <c r="B17" s="4" t="s">
        <v>25</v>
      </c>
    </row>
    <row r="18" customFormat="false" ht="15" hidden="false" customHeight="false" outlineLevel="0" collapsed="false">
      <c r="A18" s="3" t="s">
        <v>26</v>
      </c>
      <c r="B18" s="4" t="s">
        <v>27</v>
      </c>
    </row>
    <row r="19" customFormat="false" ht="15" hidden="false" customHeight="false" outlineLevel="0" collapsed="false">
      <c r="A19" s="3" t="s">
        <v>28</v>
      </c>
      <c r="B19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  <col collapsed="false" customWidth="true" hidden="false" outlineLevel="0" max="4" min="4" style="0" width="28"/>
  </cols>
  <sheetData>
    <row r="1" customFormat="false" ht="16.1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6" t="s">
        <v>32</v>
      </c>
      <c r="B4" s="8"/>
      <c r="C4" s="8"/>
    </row>
    <row r="5" customFormat="false" ht="15" hidden="false" customHeight="false" outlineLevel="0" collapsed="false">
      <c r="A5" s="5" t="s">
        <v>33</v>
      </c>
      <c r="B5" s="9" t="n">
        <v>1500</v>
      </c>
      <c r="C5" s="10" t="s">
        <v>34</v>
      </c>
    </row>
    <row r="6" customFormat="false" ht="15" hidden="false" customHeight="false" outlineLevel="0" collapsed="false">
      <c r="A6" s="5" t="s">
        <v>35</v>
      </c>
      <c r="B6" s="11" t="n">
        <v>0.4</v>
      </c>
      <c r="C6" s="10" t="s">
        <v>36</v>
      </c>
    </row>
    <row r="7" customFormat="false" ht="15" hidden="false" customHeight="false" outlineLevel="0" collapsed="false">
      <c r="A7" s="5" t="s">
        <v>37</v>
      </c>
      <c r="B7" s="11" t="n">
        <v>0.15</v>
      </c>
      <c r="C7" s="10" t="s">
        <v>36</v>
      </c>
    </row>
    <row r="8" customFormat="false" ht="15" hidden="false" customHeight="false" outlineLevel="0" collapsed="false">
      <c r="A8" s="5" t="s">
        <v>38</v>
      </c>
      <c r="B8" s="12" t="n">
        <v>0.002</v>
      </c>
      <c r="C8" s="10" t="s">
        <v>39</v>
      </c>
    </row>
    <row r="9" customFormat="false" ht="15" hidden="false" customHeight="false" outlineLevel="0" collapsed="false">
      <c r="A9" s="5" t="s">
        <v>40</v>
      </c>
      <c r="B9" s="12" t="n">
        <v>0.00176</v>
      </c>
      <c r="C9" s="10" t="s">
        <v>39</v>
      </c>
    </row>
    <row r="10" customFormat="false" ht="15" hidden="false" customHeight="false" outlineLevel="0" collapsed="false">
      <c r="A10" s="5" t="s">
        <v>41</v>
      </c>
      <c r="B10" s="13" t="n">
        <v>6</v>
      </c>
      <c r="C10" s="10" t="s">
        <v>42</v>
      </c>
    </row>
    <row r="11" customFormat="false" ht="15" hidden="false" customHeight="false" outlineLevel="0" collapsed="false">
      <c r="A11" s="5" t="s">
        <v>43</v>
      </c>
      <c r="B11" s="13" t="n">
        <v>4</v>
      </c>
      <c r="C11" s="10" t="s">
        <v>42</v>
      </c>
    </row>
    <row r="12" customFormat="false" ht="15" hidden="false" customHeight="false" outlineLevel="0" collapsed="false">
      <c r="A12" s="5" t="s">
        <v>44</v>
      </c>
      <c r="B12" s="14" t="n">
        <v>2000</v>
      </c>
      <c r="C12" s="10" t="s">
        <v>45</v>
      </c>
    </row>
    <row r="13" customFormat="false" ht="15" hidden="false" customHeight="false" outlineLevel="0" collapsed="false">
      <c r="A13" s="5" t="s">
        <v>46</v>
      </c>
      <c r="B13" s="9" t="n">
        <v>150</v>
      </c>
      <c r="C13" s="10" t="s">
        <v>47</v>
      </c>
    </row>
    <row r="14" customFormat="false" ht="15" hidden="false" customHeight="false" outlineLevel="0" collapsed="false">
      <c r="A14" s="5" t="s">
        <v>48</v>
      </c>
      <c r="B14" s="9" t="n">
        <v>250</v>
      </c>
      <c r="C14" s="10" t="s">
        <v>47</v>
      </c>
    </row>
    <row r="15" customFormat="false" ht="15" hidden="false" customHeight="false" outlineLevel="0" collapsed="false">
      <c r="A15" s="5" t="s">
        <v>49</v>
      </c>
      <c r="B15" s="13" t="n">
        <v>40</v>
      </c>
      <c r="C15" s="10" t="s">
        <v>50</v>
      </c>
    </row>
    <row r="16" customFormat="false" ht="15" hidden="false" customHeight="false" outlineLevel="0" collapsed="false">
      <c r="A16" s="5" t="s">
        <v>51</v>
      </c>
      <c r="B16" s="13" t="n">
        <v>25</v>
      </c>
      <c r="C16" s="10" t="s">
        <v>50</v>
      </c>
    </row>
    <row r="17" customFormat="false" ht="15" hidden="false" customHeight="false" outlineLevel="0" collapsed="false">
      <c r="A17" s="5" t="s">
        <v>52</v>
      </c>
      <c r="B17" s="11" t="n">
        <v>0.8</v>
      </c>
      <c r="C17" s="10" t="s">
        <v>39</v>
      </c>
    </row>
    <row r="18" customFormat="false" ht="15" hidden="false" customHeight="false" outlineLevel="0" collapsed="false">
      <c r="A18" s="5" t="s">
        <v>53</v>
      </c>
      <c r="B18" s="11" t="n">
        <v>0.7</v>
      </c>
      <c r="C18" s="10" t="s">
        <v>36</v>
      </c>
    </row>
    <row r="19" customFormat="false" ht="15" hidden="false" customHeight="false" outlineLevel="0" collapsed="false">
      <c r="A19" s="5" t="s">
        <v>54</v>
      </c>
      <c r="B19" s="9" t="n">
        <v>45</v>
      </c>
      <c r="C19" s="10" t="s">
        <v>55</v>
      </c>
    </row>
    <row r="20" customFormat="false" ht="15" hidden="false" customHeight="false" outlineLevel="0" collapsed="false">
      <c r="A20" s="5" t="s">
        <v>56</v>
      </c>
      <c r="B20" s="15" t="n">
        <v>0.002</v>
      </c>
      <c r="C20" s="10" t="s">
        <v>36</v>
      </c>
    </row>
    <row r="21" customFormat="false" ht="15" hidden="false" customHeight="false" outlineLevel="0" collapsed="false">
      <c r="A21" s="5" t="s">
        <v>57</v>
      </c>
      <c r="B21" s="9" t="n">
        <v>120</v>
      </c>
      <c r="C21" s="10" t="s">
        <v>58</v>
      </c>
    </row>
    <row r="22" customFormat="false" ht="15" hidden="false" customHeight="false" outlineLevel="0" collapsed="false">
      <c r="A22" s="5" t="s">
        <v>59</v>
      </c>
      <c r="B22" s="9" t="n">
        <v>340</v>
      </c>
      <c r="C22" s="10" t="s">
        <v>58</v>
      </c>
    </row>
    <row r="23" customFormat="false" ht="15" hidden="false" customHeight="false" outlineLevel="0" collapsed="false">
      <c r="A23" s="5" t="s">
        <v>60</v>
      </c>
      <c r="B23" s="9" t="n">
        <v>180</v>
      </c>
      <c r="C23" s="10" t="s">
        <v>61</v>
      </c>
    </row>
    <row r="26" customFormat="false" ht="15" hidden="false" customHeight="false" outlineLevel="0" collapsed="false">
      <c r="A26" s="6" t="s">
        <v>62</v>
      </c>
      <c r="B26" s="6" t="s">
        <v>63</v>
      </c>
      <c r="C26" s="6" t="s">
        <v>64</v>
      </c>
      <c r="D26" s="6" t="s">
        <v>65</v>
      </c>
    </row>
    <row r="27" customFormat="false" ht="15" hidden="false" customHeight="false" outlineLevel="0" collapsed="false">
      <c r="A27" s="5" t="s">
        <v>66</v>
      </c>
      <c r="B27" s="16" t="n">
        <f aca="false">$B$6</f>
        <v>0.4</v>
      </c>
      <c r="C27" s="16" t="n">
        <f aca="false">$B$7</f>
        <v>0.15</v>
      </c>
      <c r="D27" s="10" t="s">
        <v>36</v>
      </c>
    </row>
    <row r="28" customFormat="false" ht="15" hidden="false" customHeight="false" outlineLevel="0" collapsed="false">
      <c r="A28" s="5" t="s">
        <v>67</v>
      </c>
      <c r="B28" s="17" t="n">
        <f aca="false">$B$5*B27</f>
        <v>600</v>
      </c>
      <c r="C28" s="17" t="n">
        <f aca="false">$B$5*C27</f>
        <v>225</v>
      </c>
      <c r="D28" s="10" t="s">
        <v>55</v>
      </c>
    </row>
    <row r="29" customFormat="false" ht="15" hidden="false" customHeight="false" outlineLevel="0" collapsed="false">
      <c r="A29" s="5" t="s">
        <v>68</v>
      </c>
      <c r="B29" s="18" t="n">
        <f aca="false">B28*100*$B$8</f>
        <v>120</v>
      </c>
      <c r="C29" s="18" t="n">
        <f aca="false">C28*100*$B$8</f>
        <v>45</v>
      </c>
      <c r="D29" s="10" t="s">
        <v>42</v>
      </c>
    </row>
    <row r="30" customFormat="false" ht="15" hidden="false" customHeight="false" outlineLevel="0" collapsed="false">
      <c r="A30" s="5" t="s">
        <v>69</v>
      </c>
      <c r="B30" s="18" t="n">
        <f aca="false">B28*100*$B$9</f>
        <v>105.6</v>
      </c>
      <c r="C30" s="18" t="n">
        <f aca="false">C28*100*$B$9</f>
        <v>39.6</v>
      </c>
      <c r="D30" s="10" t="s">
        <v>42</v>
      </c>
    </row>
    <row r="31" customFormat="false" ht="15" hidden="false" customHeight="false" outlineLevel="0" collapsed="false">
      <c r="A31" s="5" t="s">
        <v>70</v>
      </c>
      <c r="B31" s="18" t="n">
        <f aca="false">B29-B30</f>
        <v>14.4</v>
      </c>
      <c r="C31" s="18" t="n">
        <f aca="false">C29-C30</f>
        <v>5.4</v>
      </c>
      <c r="D31" s="10" t="s">
        <v>42</v>
      </c>
    </row>
    <row r="32" customFormat="false" ht="15" hidden="false" customHeight="false" outlineLevel="0" collapsed="false">
      <c r="A32" s="5" t="s">
        <v>71</v>
      </c>
      <c r="B32" s="18" t="n">
        <f aca="false">$B$11*B27/$B$6</f>
        <v>4</v>
      </c>
      <c r="C32" s="18" t="n">
        <f aca="false">$B$11*C27/$B$6</f>
        <v>1.5</v>
      </c>
      <c r="D32" s="10" t="s">
        <v>42</v>
      </c>
    </row>
    <row r="33" customFormat="false" ht="15" hidden="false" customHeight="false" outlineLevel="0" collapsed="false">
      <c r="A33" s="5" t="s">
        <v>72</v>
      </c>
      <c r="B33" s="19" t="n">
        <f aca="false">$B$12*(B27/$B$6)*($B$14-$B$13)/100000</f>
        <v>2</v>
      </c>
      <c r="C33" s="19" t="n">
        <f aca="false">$B$12*(C27/$B$6)*($B$14-$B$13)/100000</f>
        <v>0.75</v>
      </c>
      <c r="D33" s="10" t="s">
        <v>42</v>
      </c>
    </row>
    <row r="34" customFormat="false" ht="15" hidden="false" customHeight="false" outlineLevel="0" collapsed="false">
      <c r="A34" s="5" t="s">
        <v>73</v>
      </c>
      <c r="B34" s="18" t="n">
        <f aca="false">$B$10</f>
        <v>6</v>
      </c>
      <c r="C34" s="18" t="n">
        <f aca="false">$B$10</f>
        <v>6</v>
      </c>
      <c r="D34" s="10" t="s">
        <v>42</v>
      </c>
    </row>
    <row r="35" customFormat="false" ht="15" hidden="false" customHeight="false" outlineLevel="0" collapsed="false">
      <c r="A35" s="5" t="s">
        <v>74</v>
      </c>
      <c r="B35" s="19" t="n">
        <f aca="false">B31+B32-B33-B34</f>
        <v>10.4</v>
      </c>
      <c r="C35" s="19" t="n">
        <f aca="false">C31+C32-C33-C34</f>
        <v>0.149999999999999</v>
      </c>
      <c r="D35" s="10" t="s">
        <v>42</v>
      </c>
    </row>
    <row r="36" customFormat="false" ht="15" hidden="false" customHeight="false" outlineLevel="0" collapsed="false">
      <c r="A36" s="5" t="s">
        <v>75</v>
      </c>
      <c r="B36" s="16" t="n">
        <f aca="false">1-B27</f>
        <v>0.6</v>
      </c>
      <c r="C36" s="16" t="n">
        <f aca="false">1-C27</f>
        <v>0.85</v>
      </c>
      <c r="D36" s="10" t="s">
        <v>36</v>
      </c>
    </row>
    <row r="37" customFormat="false" ht="15" hidden="false" customHeight="false" outlineLevel="0" collapsed="false">
      <c r="A37" s="5" t="s">
        <v>76</v>
      </c>
      <c r="B37" s="5" t="str">
        <f aca="false">IF(B36&lt;$B$17,"Yes","No")</f>
        <v>Yes</v>
      </c>
      <c r="C37" s="5" t="str">
        <f aca="false">IF(C36&lt;$B$17,"Yes","No")</f>
        <v>No</v>
      </c>
      <c r="D37" s="10"/>
    </row>
    <row r="38" customFormat="false" ht="15" hidden="false" customHeight="false" outlineLevel="0" collapsed="false">
      <c r="A38" s="5" t="s">
        <v>77</v>
      </c>
      <c r="B38" s="18" t="n">
        <f aca="false">$B$15+IF(B37="Yes",$B$16,0)</f>
        <v>65</v>
      </c>
      <c r="C38" s="18" t="n">
        <f aca="false">$B$15+IF(C37="Yes",$B$16,0)</f>
        <v>40</v>
      </c>
      <c r="D38" s="10" t="s">
        <v>50</v>
      </c>
    </row>
    <row r="39" customFormat="false" ht="15" hidden="false" customHeight="false" outlineLevel="0" collapsed="false">
      <c r="A39" s="5" t="s">
        <v>78</v>
      </c>
      <c r="B39" s="18" t="n">
        <f aca="false">IF(B35&gt;0,B38/B35,"No payback")</f>
        <v>6.25000000000001</v>
      </c>
      <c r="C39" s="18" t="n">
        <f aca="false">IF(C35&gt;0,C38/C35,"No payback")</f>
        <v>266.666666666669</v>
      </c>
      <c r="D39" s="10" t="s">
        <v>79</v>
      </c>
    </row>
    <row r="40" customFormat="false" ht="15" hidden="false" customHeight="false" outlineLevel="0" collapsed="false">
      <c r="A40" s="5" t="s">
        <v>80</v>
      </c>
      <c r="B40" s="18" t="n">
        <f aca="false">$B$19*$B$20*100</f>
        <v>9</v>
      </c>
      <c r="C40" s="18" t="n">
        <f aca="false">$B$19*$B$20*100</f>
        <v>9</v>
      </c>
      <c r="D40" s="10" t="s">
        <v>42</v>
      </c>
    </row>
    <row r="41" customFormat="false" ht="15" hidden="false" customHeight="false" outlineLevel="0" collapsed="false">
      <c r="A41" s="5" t="s">
        <v>81</v>
      </c>
      <c r="B41" s="18" t="n">
        <f aca="false">B35+B40</f>
        <v>19.4</v>
      </c>
      <c r="C41" s="18" t="n">
        <f aca="false">C35+C40</f>
        <v>9.15</v>
      </c>
      <c r="D41" s="10" t="s">
        <v>42</v>
      </c>
    </row>
    <row r="42" customFormat="false" ht="15" hidden="false" customHeight="false" outlineLevel="0" collapsed="false">
      <c r="A42" s="5" t="s">
        <v>82</v>
      </c>
      <c r="B42" s="18" t="n">
        <f aca="false">IF(B41&gt;0,B38/B41,"No payback")</f>
        <v>3.35051546391753</v>
      </c>
      <c r="C42" s="18" t="n">
        <f aca="false">IF(C41&gt;0,C38/C41,"No payback")</f>
        <v>4.37158469945355</v>
      </c>
      <c r="D42" s="10" t="s">
        <v>79</v>
      </c>
    </row>
    <row r="43" customFormat="false" ht="15" hidden="false" customHeight="false" outlineLevel="0" collapsed="false">
      <c r="A43" s="5" t="s">
        <v>83</v>
      </c>
      <c r="B43" s="5" t="str">
        <f aca="false">IF(B36&lt;=$B$18,"Yes","No")</f>
        <v>Yes</v>
      </c>
      <c r="C43" s="5" t="str">
        <f aca="false">IF(C36&lt;=$B$18,"Yes","No")</f>
        <v>No</v>
      </c>
      <c r="D43" s="10"/>
    </row>
    <row r="45" customFormat="false" ht="15" hidden="false" customHeight="false" outlineLevel="0" collapsed="false">
      <c r="A45" s="6" t="s">
        <v>84</v>
      </c>
      <c r="B45" s="8"/>
      <c r="C45" s="8"/>
      <c r="D45" s="8"/>
    </row>
    <row r="46" customFormat="false" ht="15" hidden="false" customHeight="false" outlineLevel="0" collapsed="false">
      <c r="A46" s="5" t="s">
        <v>85</v>
      </c>
      <c r="B46" s="18" t="n">
        <f aca="false">$B$19*$B$20*12*100</f>
        <v>108</v>
      </c>
      <c r="D46" s="10" t="s">
        <v>86</v>
      </c>
    </row>
    <row r="47" customFormat="false" ht="15" hidden="false" customHeight="false" outlineLevel="0" collapsed="false">
      <c r="A47" s="5" t="s">
        <v>87</v>
      </c>
      <c r="B47" s="16" t="n">
        <f aca="false">IFERROR($B$22/$B$21-1,0)</f>
        <v>1.83333333333333</v>
      </c>
      <c r="D47" s="10" t="s">
        <v>36</v>
      </c>
    </row>
    <row r="48" customFormat="false" ht="15" hidden="false" customHeight="false" outlineLevel="0" collapsed="false">
      <c r="A48" s="5" t="s">
        <v>88</v>
      </c>
      <c r="B48" s="20" t="n">
        <f aca="false">$B$22*$B$23</f>
        <v>61200</v>
      </c>
      <c r="D48" s="10" t="s">
        <v>61</v>
      </c>
    </row>
    <row r="50" customFormat="false" ht="45" hidden="false" customHeight="true" outlineLevel="0" collapsed="false">
      <c r="A50" s="21" t="s">
        <v>89</v>
      </c>
      <c r="B50" s="21"/>
      <c r="C50" s="21"/>
      <c r="D50" s="21"/>
    </row>
  </sheetData>
  <mergeCells count="1"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4"/>
    <col collapsed="false" customWidth="true" hidden="false" outlineLevel="0" max="4" min="4" style="0" width="60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30"/>
    <col collapsed="false" customWidth="true" hidden="false" outlineLevel="0" max="10" min="9" style="0" width="10"/>
    <col collapsed="false" customWidth="true" hidden="false" outlineLevel="0" max="11" min="11" style="0" width="46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9"/>
  </cols>
  <sheetData>
    <row r="1" customFormat="false" ht="16.1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3" customFormat="false" ht="35.05" hidden="false" customHeight="false" outlineLevel="0" collapsed="false">
      <c r="A3" s="22" t="s">
        <v>92</v>
      </c>
      <c r="B3" s="22" t="s">
        <v>93</v>
      </c>
      <c r="C3" s="22" t="s">
        <v>94</v>
      </c>
      <c r="D3" s="22" t="s">
        <v>95</v>
      </c>
      <c r="E3" s="22" t="s">
        <v>96</v>
      </c>
      <c r="F3" s="22" t="s">
        <v>65</v>
      </c>
      <c r="G3" s="22" t="s">
        <v>97</v>
      </c>
      <c r="H3" s="22" t="s">
        <v>98</v>
      </c>
      <c r="I3" s="22" t="s">
        <v>99</v>
      </c>
      <c r="J3" s="22" t="s">
        <v>100</v>
      </c>
      <c r="K3" s="22" t="s">
        <v>101</v>
      </c>
      <c r="L3" s="22" t="s">
        <v>102</v>
      </c>
      <c r="M3" s="22" t="s">
        <v>103</v>
      </c>
      <c r="N3" s="22" t="s">
        <v>104</v>
      </c>
    </row>
    <row r="4" customFormat="false" ht="23.85" hidden="false" customHeight="false" outlineLevel="0" collapsed="false">
      <c r="A4" s="23" t="s">
        <v>105</v>
      </c>
      <c r="B4" s="23" t="s">
        <v>106</v>
      </c>
      <c r="C4" s="23" t="s">
        <v>107</v>
      </c>
      <c r="D4" s="23" t="s">
        <v>108</v>
      </c>
      <c r="E4" s="23" t="n">
        <v>1500</v>
      </c>
      <c r="F4" s="23" t="s">
        <v>109</v>
      </c>
      <c r="G4" s="23" t="s">
        <v>110</v>
      </c>
      <c r="H4" s="23" t="s">
        <v>111</v>
      </c>
      <c r="I4" s="23" t="s">
        <v>112</v>
      </c>
      <c r="J4" s="23"/>
      <c r="K4" s="24" t="s">
        <v>113</v>
      </c>
      <c r="L4" s="24" t="s">
        <v>114</v>
      </c>
      <c r="M4" s="24" t="s">
        <v>112</v>
      </c>
      <c r="N4" s="24"/>
    </row>
    <row r="5" customFormat="false" ht="15" hidden="false" customHeight="false" outlineLevel="0" collapsed="false">
      <c r="A5" s="23" t="s">
        <v>115</v>
      </c>
      <c r="B5" s="23" t="s">
        <v>106</v>
      </c>
      <c r="C5" s="23" t="s">
        <v>116</v>
      </c>
      <c r="D5" s="23" t="s">
        <v>117</v>
      </c>
      <c r="E5" s="23" t="n">
        <v>0.2</v>
      </c>
      <c r="F5" s="23" t="s">
        <v>39</v>
      </c>
      <c r="G5" s="23" t="s">
        <v>118</v>
      </c>
      <c r="H5" s="23" t="s">
        <v>119</v>
      </c>
      <c r="I5" s="23" t="s">
        <v>112</v>
      </c>
      <c r="J5" s="23"/>
      <c r="K5" s="24" t="s">
        <v>120</v>
      </c>
      <c r="L5" s="24" t="s">
        <v>114</v>
      </c>
      <c r="M5" s="24" t="s">
        <v>112</v>
      </c>
      <c r="N5" s="24"/>
    </row>
    <row r="6" customFormat="false" ht="23.85" hidden="false" customHeight="false" outlineLevel="0" collapsed="false">
      <c r="A6" s="23" t="s">
        <v>121</v>
      </c>
      <c r="B6" s="23" t="s">
        <v>106</v>
      </c>
      <c r="C6" s="23" t="s">
        <v>116</v>
      </c>
      <c r="D6" s="23" t="s">
        <v>122</v>
      </c>
      <c r="E6" s="23" t="n">
        <v>0.176</v>
      </c>
      <c r="F6" s="23" t="s">
        <v>39</v>
      </c>
      <c r="G6" s="23" t="s">
        <v>123</v>
      </c>
      <c r="H6" s="23" t="s">
        <v>124</v>
      </c>
      <c r="I6" s="23" t="s">
        <v>112</v>
      </c>
      <c r="J6" s="23"/>
      <c r="K6" s="24" t="s">
        <v>125</v>
      </c>
      <c r="L6" s="24" t="s">
        <v>126</v>
      </c>
      <c r="M6" s="24" t="s">
        <v>112</v>
      </c>
      <c r="N6" s="24"/>
    </row>
    <row r="7" customFormat="false" ht="23.85" hidden="false" customHeight="false" outlineLevel="0" collapsed="false">
      <c r="A7" s="23" t="s">
        <v>127</v>
      </c>
      <c r="B7" s="23" t="s">
        <v>106</v>
      </c>
      <c r="C7" s="23" t="s">
        <v>116</v>
      </c>
      <c r="D7" s="23" t="s">
        <v>128</v>
      </c>
      <c r="E7" s="23" t="n">
        <v>6</v>
      </c>
      <c r="F7" s="23" t="s">
        <v>129</v>
      </c>
      <c r="G7" s="23" t="s">
        <v>123</v>
      </c>
      <c r="H7" s="23" t="s">
        <v>130</v>
      </c>
      <c r="I7" s="23" t="s">
        <v>112</v>
      </c>
      <c r="J7" s="23"/>
      <c r="K7" s="24" t="s">
        <v>131</v>
      </c>
      <c r="L7" s="24" t="s">
        <v>132</v>
      </c>
      <c r="M7" s="24" t="s">
        <v>112</v>
      </c>
      <c r="N7" s="24"/>
    </row>
    <row r="8" customFormat="false" ht="23.85" hidden="false" customHeight="false" outlineLevel="0" collapsed="false">
      <c r="A8" s="23" t="s">
        <v>133</v>
      </c>
      <c r="B8" s="23" t="s">
        <v>106</v>
      </c>
      <c r="C8" s="23" t="s">
        <v>134</v>
      </c>
      <c r="D8" s="23" t="s">
        <v>135</v>
      </c>
      <c r="E8" s="23" t="n">
        <v>40</v>
      </c>
      <c r="F8" s="23" t="s">
        <v>136</v>
      </c>
      <c r="G8" s="23" t="s">
        <v>137</v>
      </c>
      <c r="H8" s="23" t="s">
        <v>138</v>
      </c>
      <c r="I8" s="23" t="s">
        <v>139</v>
      </c>
      <c r="J8" s="23"/>
      <c r="K8" s="24" t="s">
        <v>140</v>
      </c>
      <c r="L8" s="24" t="s">
        <v>132</v>
      </c>
      <c r="M8" s="24" t="s">
        <v>139</v>
      </c>
      <c r="N8" s="24"/>
    </row>
    <row r="9" customFormat="false" ht="23.85" hidden="false" customHeight="false" outlineLevel="0" collapsed="false">
      <c r="A9" s="23" t="s">
        <v>141</v>
      </c>
      <c r="B9" s="23" t="s">
        <v>106</v>
      </c>
      <c r="C9" s="23" t="s">
        <v>142</v>
      </c>
      <c r="D9" s="23" t="s">
        <v>143</v>
      </c>
      <c r="E9" s="23" t="n">
        <v>4</v>
      </c>
      <c r="F9" s="23" t="s">
        <v>129</v>
      </c>
      <c r="G9" s="23" t="s">
        <v>144</v>
      </c>
      <c r="H9" s="23" t="s">
        <v>145</v>
      </c>
      <c r="I9" s="23" t="s">
        <v>139</v>
      </c>
      <c r="J9" s="23"/>
      <c r="K9" s="24" t="s">
        <v>146</v>
      </c>
      <c r="L9" s="24" t="s">
        <v>126</v>
      </c>
      <c r="M9" s="24" t="s">
        <v>139</v>
      </c>
      <c r="N9" s="24"/>
    </row>
    <row r="10" customFormat="false" ht="15" hidden="false" customHeight="false" outlineLevel="0" collapsed="false">
      <c r="A10" s="23" t="s">
        <v>147</v>
      </c>
      <c r="B10" s="23" t="s">
        <v>106</v>
      </c>
      <c r="C10" s="23" t="s">
        <v>142</v>
      </c>
      <c r="D10" s="23" t="s">
        <v>148</v>
      </c>
      <c r="E10" s="23" t="n">
        <v>9.5</v>
      </c>
      <c r="F10" s="23" t="s">
        <v>149</v>
      </c>
      <c r="G10" s="23" t="s">
        <v>144</v>
      </c>
      <c r="H10" s="23" t="s">
        <v>145</v>
      </c>
      <c r="I10" s="23" t="s">
        <v>112</v>
      </c>
      <c r="J10" s="23"/>
      <c r="K10" s="24" t="s">
        <v>150</v>
      </c>
      <c r="L10" s="24" t="s">
        <v>114</v>
      </c>
      <c r="M10" s="24" t="s">
        <v>151</v>
      </c>
      <c r="N10" s="24"/>
    </row>
    <row r="11" customFormat="false" ht="46.25" hidden="false" customHeight="false" outlineLevel="0" collapsed="false">
      <c r="A11" s="23" t="s">
        <v>152</v>
      </c>
      <c r="B11" s="23" t="s">
        <v>106</v>
      </c>
      <c r="C11" s="23" t="s">
        <v>116</v>
      </c>
      <c r="D11" s="23" t="s">
        <v>153</v>
      </c>
      <c r="E11" s="23" t="n">
        <v>2</v>
      </c>
      <c r="F11" s="23" t="s">
        <v>129</v>
      </c>
      <c r="G11" s="23" t="s">
        <v>123</v>
      </c>
      <c r="H11" s="23" t="s">
        <v>154</v>
      </c>
      <c r="I11" s="23" t="s">
        <v>112</v>
      </c>
      <c r="J11" s="23"/>
      <c r="K11" s="24" t="s">
        <v>155</v>
      </c>
      <c r="L11" s="24" t="s">
        <v>156</v>
      </c>
      <c r="M11" s="24" t="s">
        <v>139</v>
      </c>
      <c r="N11" s="24"/>
    </row>
    <row r="12" customFormat="false" ht="23.85" hidden="false" customHeight="false" outlineLevel="0" collapsed="false">
      <c r="A12" s="23" t="s">
        <v>157</v>
      </c>
      <c r="B12" s="23" t="s">
        <v>106</v>
      </c>
      <c r="C12" s="23" t="s">
        <v>158</v>
      </c>
      <c r="D12" s="23" t="s">
        <v>159</v>
      </c>
      <c r="E12" s="23" t="n">
        <v>36</v>
      </c>
      <c r="F12" s="23" t="s">
        <v>160</v>
      </c>
      <c r="G12" s="23" t="s">
        <v>144</v>
      </c>
      <c r="H12" s="23" t="s">
        <v>161</v>
      </c>
      <c r="I12" s="23" t="s">
        <v>112</v>
      </c>
      <c r="J12" s="23"/>
      <c r="K12" s="24" t="s">
        <v>162</v>
      </c>
      <c r="L12" s="24" t="s">
        <v>126</v>
      </c>
      <c r="M12" s="24" t="s">
        <v>139</v>
      </c>
      <c r="N12" s="24"/>
    </row>
    <row r="13" customFormat="false" ht="23.85" hidden="false" customHeight="false" outlineLevel="0" collapsed="false">
      <c r="A13" s="23" t="s">
        <v>163</v>
      </c>
      <c r="B13" s="23" t="s">
        <v>106</v>
      </c>
      <c r="C13" s="23" t="s">
        <v>164</v>
      </c>
      <c r="D13" s="23" t="s">
        <v>165</v>
      </c>
      <c r="E13" s="23" t="n">
        <v>25</v>
      </c>
      <c r="F13" s="23" t="s">
        <v>166</v>
      </c>
      <c r="G13" s="23" t="s">
        <v>167</v>
      </c>
      <c r="H13" s="23" t="s">
        <v>168</v>
      </c>
      <c r="I13" s="23" t="s">
        <v>139</v>
      </c>
      <c r="J13" s="23"/>
      <c r="K13" s="24" t="s">
        <v>169</v>
      </c>
      <c r="L13" s="24" t="s">
        <v>126</v>
      </c>
      <c r="M13" s="24" t="s">
        <v>151</v>
      </c>
      <c r="N13" s="24"/>
    </row>
    <row r="14" customFormat="false" ht="23.85" hidden="false" customHeight="false" outlineLevel="0" collapsed="false">
      <c r="A14" s="23" t="s">
        <v>170</v>
      </c>
      <c r="B14" s="23" t="s">
        <v>106</v>
      </c>
      <c r="C14" s="23" t="s">
        <v>171</v>
      </c>
      <c r="D14" s="23" t="s">
        <v>172</v>
      </c>
      <c r="E14" s="23" t="n">
        <v>42</v>
      </c>
      <c r="F14" s="23" t="s">
        <v>36</v>
      </c>
      <c r="G14" s="23" t="s">
        <v>144</v>
      </c>
      <c r="H14" s="23" t="s">
        <v>161</v>
      </c>
      <c r="I14" s="23" t="s">
        <v>112</v>
      </c>
      <c r="J14" s="23"/>
      <c r="K14" s="24" t="s">
        <v>173</v>
      </c>
      <c r="L14" s="24" t="s">
        <v>126</v>
      </c>
      <c r="M14" s="24" t="s">
        <v>139</v>
      </c>
      <c r="N14" s="24"/>
    </row>
    <row r="15" customFormat="false" ht="23.85" hidden="false" customHeight="false" outlineLevel="0" collapsed="false">
      <c r="A15" s="25" t="s">
        <v>174</v>
      </c>
      <c r="B15" s="25" t="s">
        <v>106</v>
      </c>
      <c r="C15" s="25" t="s">
        <v>116</v>
      </c>
      <c r="D15" s="25" t="s">
        <v>175</v>
      </c>
      <c r="E15" s="25" t="n">
        <v>18</v>
      </c>
      <c r="F15" s="25" t="s">
        <v>36</v>
      </c>
      <c r="G15" s="25" t="s">
        <v>176</v>
      </c>
      <c r="H15" s="25" t="s">
        <v>177</v>
      </c>
      <c r="I15" s="25" t="s">
        <v>151</v>
      </c>
      <c r="J15" s="25" t="s">
        <v>121</v>
      </c>
      <c r="K15" s="24" t="s">
        <v>178</v>
      </c>
      <c r="L15" s="24" t="s">
        <v>114</v>
      </c>
      <c r="M15" s="24" t="s">
        <v>151</v>
      </c>
      <c r="N15" s="24"/>
    </row>
    <row r="16" customFormat="false" ht="35.05" hidden="false" customHeight="false" outlineLevel="0" collapsed="false">
      <c r="A16" s="23" t="s">
        <v>179</v>
      </c>
      <c r="B16" s="23" t="s">
        <v>180</v>
      </c>
      <c r="C16" s="23" t="s">
        <v>181</v>
      </c>
      <c r="D16" s="23" t="s">
        <v>182</v>
      </c>
      <c r="E16" s="23" t="n">
        <v>45</v>
      </c>
      <c r="F16" s="23" t="s">
        <v>109</v>
      </c>
      <c r="G16" s="23" t="s">
        <v>110</v>
      </c>
      <c r="H16" s="23" t="s">
        <v>183</v>
      </c>
      <c r="I16" s="23" t="s">
        <v>112</v>
      </c>
      <c r="J16" s="23"/>
      <c r="K16" s="24" t="s">
        <v>184</v>
      </c>
      <c r="L16" s="24" t="s">
        <v>126</v>
      </c>
      <c r="M16" s="24" t="s">
        <v>112</v>
      </c>
      <c r="N16" s="24"/>
    </row>
    <row r="17" customFormat="false" ht="23.85" hidden="false" customHeight="false" outlineLevel="0" collapsed="false">
      <c r="A17" s="23" t="s">
        <v>185</v>
      </c>
      <c r="B17" s="23" t="s">
        <v>180</v>
      </c>
      <c r="C17" s="23" t="s">
        <v>186</v>
      </c>
      <c r="D17" s="23" t="s">
        <v>187</v>
      </c>
      <c r="E17" s="23" t="n">
        <v>70</v>
      </c>
      <c r="F17" s="23" t="s">
        <v>36</v>
      </c>
      <c r="G17" s="23" t="s">
        <v>188</v>
      </c>
      <c r="H17" s="23" t="s">
        <v>189</v>
      </c>
      <c r="I17" s="23" t="s">
        <v>112</v>
      </c>
      <c r="J17" s="23"/>
      <c r="K17" s="24" t="s">
        <v>190</v>
      </c>
      <c r="L17" s="24" t="s">
        <v>126</v>
      </c>
      <c r="M17" s="24" t="s">
        <v>112</v>
      </c>
      <c r="N17" s="24"/>
    </row>
    <row r="18" customFormat="false" ht="46.25" hidden="false" customHeight="false" outlineLevel="0" collapsed="false">
      <c r="A18" s="23" t="s">
        <v>191</v>
      </c>
      <c r="B18" s="23" t="s">
        <v>180</v>
      </c>
      <c r="C18" s="23" t="s">
        <v>192</v>
      </c>
      <c r="D18" s="23" t="s">
        <v>193</v>
      </c>
      <c r="E18" s="23" t="s">
        <v>194</v>
      </c>
      <c r="F18" s="23"/>
      <c r="G18" s="23" t="s">
        <v>195</v>
      </c>
      <c r="H18" s="23" t="s">
        <v>196</v>
      </c>
      <c r="I18" s="23" t="s">
        <v>139</v>
      </c>
      <c r="J18" s="23"/>
      <c r="K18" s="24" t="s">
        <v>197</v>
      </c>
      <c r="L18" s="24" t="s">
        <v>126</v>
      </c>
      <c r="M18" s="24" t="s">
        <v>139</v>
      </c>
      <c r="N18" s="24"/>
    </row>
    <row r="19" customFormat="false" ht="35.05" hidden="false" customHeight="false" outlineLevel="0" collapsed="false">
      <c r="A19" s="23" t="s">
        <v>198</v>
      </c>
      <c r="B19" s="23" t="s">
        <v>180</v>
      </c>
      <c r="C19" s="23" t="s">
        <v>199</v>
      </c>
      <c r="D19" s="23" t="s">
        <v>200</v>
      </c>
      <c r="E19" s="23" t="n">
        <v>4</v>
      </c>
      <c r="F19" s="23" t="s">
        <v>79</v>
      </c>
      <c r="G19" s="23" t="s">
        <v>195</v>
      </c>
      <c r="H19" s="23" t="s">
        <v>201</v>
      </c>
      <c r="I19" s="23" t="s">
        <v>139</v>
      </c>
      <c r="J19" s="23"/>
      <c r="K19" s="24" t="s">
        <v>202</v>
      </c>
      <c r="L19" s="24" t="s">
        <v>126</v>
      </c>
      <c r="M19" s="24" t="s">
        <v>139</v>
      </c>
      <c r="N19" s="24"/>
    </row>
    <row r="20" customFormat="false" ht="23.85" hidden="false" customHeight="false" outlineLevel="0" collapsed="false">
      <c r="A20" s="23" t="s">
        <v>203</v>
      </c>
      <c r="B20" s="23" t="s">
        <v>180</v>
      </c>
      <c r="C20" s="23" t="s">
        <v>204</v>
      </c>
      <c r="D20" s="23" t="s">
        <v>205</v>
      </c>
      <c r="E20" s="23" t="n">
        <v>8</v>
      </c>
      <c r="F20" s="23" t="s">
        <v>36</v>
      </c>
      <c r="G20" s="23" t="s">
        <v>144</v>
      </c>
      <c r="H20" s="23" t="s">
        <v>206</v>
      </c>
      <c r="I20" s="23" t="s">
        <v>112</v>
      </c>
      <c r="J20" s="23"/>
      <c r="K20" s="24" t="s">
        <v>207</v>
      </c>
      <c r="L20" s="24" t="s">
        <v>156</v>
      </c>
      <c r="M20" s="24" t="s">
        <v>139</v>
      </c>
      <c r="N20" s="24"/>
    </row>
    <row r="21" customFormat="false" ht="23.85" hidden="false" customHeight="false" outlineLevel="0" collapsed="false">
      <c r="A21" s="23" t="s">
        <v>208</v>
      </c>
      <c r="B21" s="23" t="s">
        <v>180</v>
      </c>
      <c r="C21" s="23" t="s">
        <v>209</v>
      </c>
      <c r="D21" s="23" t="s">
        <v>210</v>
      </c>
      <c r="E21" s="23" t="n">
        <v>1.08</v>
      </c>
      <c r="F21" s="23" t="s">
        <v>160</v>
      </c>
      <c r="G21" s="23" t="s">
        <v>110</v>
      </c>
      <c r="H21" s="23" t="s">
        <v>201</v>
      </c>
      <c r="I21" s="23" t="s">
        <v>139</v>
      </c>
      <c r="J21" s="23"/>
      <c r="K21" s="24" t="s">
        <v>211</v>
      </c>
      <c r="L21" s="24" t="s">
        <v>126</v>
      </c>
      <c r="M21" s="24" t="s">
        <v>112</v>
      </c>
      <c r="N21" s="24"/>
    </row>
    <row r="22" customFormat="false" ht="23.85" hidden="false" customHeight="false" outlineLevel="0" collapsed="false">
      <c r="A22" s="23" t="s">
        <v>212</v>
      </c>
      <c r="B22" s="23" t="s">
        <v>180</v>
      </c>
      <c r="C22" s="23" t="s">
        <v>213</v>
      </c>
      <c r="D22" s="23" t="s">
        <v>214</v>
      </c>
      <c r="E22" s="23" t="n">
        <v>2</v>
      </c>
      <c r="F22" s="23" t="s">
        <v>213</v>
      </c>
      <c r="G22" s="23" t="s">
        <v>195</v>
      </c>
      <c r="H22" s="23" t="s">
        <v>196</v>
      </c>
      <c r="I22" s="23" t="s">
        <v>139</v>
      </c>
      <c r="J22" s="23"/>
      <c r="K22" s="24" t="s">
        <v>215</v>
      </c>
      <c r="L22" s="24" t="s">
        <v>126</v>
      </c>
      <c r="M22" s="24" t="s">
        <v>151</v>
      </c>
      <c r="N22" s="24"/>
    </row>
    <row r="23" customFormat="false" ht="23.85" hidden="false" customHeight="false" outlineLevel="0" collapsed="false">
      <c r="A23" s="23" t="s">
        <v>216</v>
      </c>
      <c r="B23" s="23" t="s">
        <v>180</v>
      </c>
      <c r="C23" s="23" t="s">
        <v>217</v>
      </c>
      <c r="D23" s="23" t="s">
        <v>218</v>
      </c>
      <c r="E23" s="23" t="n">
        <v>70</v>
      </c>
      <c r="F23" s="23" t="s">
        <v>36</v>
      </c>
      <c r="G23" s="23" t="s">
        <v>110</v>
      </c>
      <c r="H23" s="23" t="s">
        <v>196</v>
      </c>
      <c r="I23" s="23" t="s">
        <v>139</v>
      </c>
      <c r="J23" s="23"/>
      <c r="K23" s="24" t="s">
        <v>219</v>
      </c>
      <c r="L23" s="24" t="s">
        <v>126</v>
      </c>
      <c r="M23" s="24" t="s">
        <v>139</v>
      </c>
      <c r="N23" s="24"/>
    </row>
    <row r="24" customFormat="false" ht="23.85" hidden="false" customHeight="false" outlineLevel="0" collapsed="false">
      <c r="A24" s="23" t="s">
        <v>220</v>
      </c>
      <c r="B24" s="23" t="s">
        <v>180</v>
      </c>
      <c r="C24" s="23" t="s">
        <v>221</v>
      </c>
      <c r="D24" s="23" t="s">
        <v>222</v>
      </c>
      <c r="E24" s="23" t="s">
        <v>223</v>
      </c>
      <c r="F24" s="23" t="s">
        <v>224</v>
      </c>
      <c r="G24" s="23" t="s">
        <v>144</v>
      </c>
      <c r="H24" s="23" t="s">
        <v>225</v>
      </c>
      <c r="I24" s="23" t="s">
        <v>112</v>
      </c>
      <c r="J24" s="23"/>
      <c r="K24" s="24" t="s">
        <v>226</v>
      </c>
      <c r="L24" s="24" t="s">
        <v>126</v>
      </c>
      <c r="M24" s="24" t="s">
        <v>139</v>
      </c>
      <c r="N24" s="24"/>
    </row>
    <row r="25" customFormat="false" ht="35.05" hidden="false" customHeight="false" outlineLevel="0" collapsed="false">
      <c r="A25" s="23" t="s">
        <v>227</v>
      </c>
      <c r="B25" s="23" t="s">
        <v>180</v>
      </c>
      <c r="C25" s="23" t="s">
        <v>228</v>
      </c>
      <c r="D25" s="23" t="s">
        <v>229</v>
      </c>
      <c r="E25" s="23" t="n">
        <v>2.3</v>
      </c>
      <c r="F25" s="23" t="s">
        <v>230</v>
      </c>
      <c r="G25" s="23" t="s">
        <v>231</v>
      </c>
      <c r="H25" s="23" t="s">
        <v>232</v>
      </c>
      <c r="I25" s="23" t="s">
        <v>112</v>
      </c>
      <c r="J25" s="23"/>
      <c r="K25" s="24" t="s">
        <v>233</v>
      </c>
      <c r="L25" s="24" t="s">
        <v>126</v>
      </c>
      <c r="M25" s="24" t="s">
        <v>139</v>
      </c>
      <c r="N25" s="24"/>
    </row>
    <row r="26" customFormat="false" ht="23.85" hidden="false" customHeight="false" outlineLevel="0" collapsed="false">
      <c r="A26" s="23" t="s">
        <v>234</v>
      </c>
      <c r="B26" s="23" t="s">
        <v>180</v>
      </c>
      <c r="C26" s="23" t="s">
        <v>235</v>
      </c>
      <c r="D26" s="23" t="s">
        <v>236</v>
      </c>
      <c r="E26" s="23" t="n">
        <v>1200</v>
      </c>
      <c r="F26" s="23" t="s">
        <v>237</v>
      </c>
      <c r="G26" s="23" t="s">
        <v>195</v>
      </c>
      <c r="H26" s="23" t="s">
        <v>196</v>
      </c>
      <c r="I26" s="23" t="s">
        <v>139</v>
      </c>
      <c r="J26" s="23"/>
      <c r="K26" s="24" t="s">
        <v>238</v>
      </c>
      <c r="L26" s="24" t="s">
        <v>132</v>
      </c>
      <c r="M26" s="24" t="s">
        <v>139</v>
      </c>
      <c r="N26" s="24"/>
    </row>
    <row r="27" customFormat="false" ht="23.85" hidden="false" customHeight="false" outlineLevel="0" collapsed="false">
      <c r="A27" s="23" t="s">
        <v>239</v>
      </c>
      <c r="B27" s="23" t="s">
        <v>240</v>
      </c>
      <c r="C27" s="23" t="s">
        <v>241</v>
      </c>
      <c r="D27" s="23" t="s">
        <v>242</v>
      </c>
      <c r="E27" s="23" t="n">
        <v>340</v>
      </c>
      <c r="F27" s="23" t="s">
        <v>243</v>
      </c>
      <c r="G27" s="23" t="s">
        <v>110</v>
      </c>
      <c r="H27" s="23" t="s">
        <v>244</v>
      </c>
      <c r="I27" s="23" t="s">
        <v>112</v>
      </c>
      <c r="J27" s="23"/>
      <c r="K27" s="24" t="s">
        <v>245</v>
      </c>
      <c r="L27" s="24" t="s">
        <v>126</v>
      </c>
      <c r="M27" s="24" t="s">
        <v>112</v>
      </c>
      <c r="N27" s="24"/>
    </row>
    <row r="28" customFormat="false" ht="23.85" hidden="false" customHeight="false" outlineLevel="0" collapsed="false">
      <c r="A28" s="23" t="s">
        <v>246</v>
      </c>
      <c r="B28" s="23" t="s">
        <v>240</v>
      </c>
      <c r="C28" s="23" t="s">
        <v>247</v>
      </c>
      <c r="D28" s="23" t="s">
        <v>248</v>
      </c>
      <c r="E28" s="23" t="n">
        <v>38</v>
      </c>
      <c r="F28" s="23" t="s">
        <v>109</v>
      </c>
      <c r="G28" s="23" t="s">
        <v>110</v>
      </c>
      <c r="H28" s="23" t="s">
        <v>249</v>
      </c>
      <c r="I28" s="23" t="s">
        <v>112</v>
      </c>
      <c r="J28" s="23"/>
      <c r="K28" s="24" t="s">
        <v>250</v>
      </c>
      <c r="L28" s="24" t="s">
        <v>126</v>
      </c>
      <c r="M28" s="24" t="s">
        <v>112</v>
      </c>
      <c r="N28" s="24"/>
    </row>
    <row r="29" customFormat="false" ht="23.85" hidden="false" customHeight="false" outlineLevel="0" collapsed="false">
      <c r="A29" s="23" t="s">
        <v>251</v>
      </c>
      <c r="B29" s="23" t="s">
        <v>240</v>
      </c>
      <c r="C29" s="23" t="s">
        <v>241</v>
      </c>
      <c r="D29" s="23" t="s">
        <v>252</v>
      </c>
      <c r="E29" s="23" t="n">
        <v>900</v>
      </c>
      <c r="F29" s="23" t="s">
        <v>243</v>
      </c>
      <c r="G29" s="23" t="s">
        <v>110</v>
      </c>
      <c r="H29" s="23" t="s">
        <v>244</v>
      </c>
      <c r="I29" s="23" t="s">
        <v>112</v>
      </c>
      <c r="J29" s="23"/>
      <c r="K29" s="24" t="s">
        <v>253</v>
      </c>
      <c r="L29" s="24" t="s">
        <v>114</v>
      </c>
      <c r="M29" s="24" t="s">
        <v>139</v>
      </c>
      <c r="N29" s="24"/>
    </row>
    <row r="30" customFormat="false" ht="23.85" hidden="false" customHeight="false" outlineLevel="0" collapsed="false">
      <c r="A30" s="23" t="s">
        <v>254</v>
      </c>
      <c r="B30" s="23" t="s">
        <v>240</v>
      </c>
      <c r="C30" s="23" t="s">
        <v>255</v>
      </c>
      <c r="D30" s="23" t="s">
        <v>256</v>
      </c>
      <c r="E30" s="23" t="n">
        <v>3.1</v>
      </c>
      <c r="F30" s="23" t="s">
        <v>257</v>
      </c>
      <c r="G30" s="23" t="s">
        <v>110</v>
      </c>
      <c r="H30" s="23" t="s">
        <v>258</v>
      </c>
      <c r="I30" s="23" t="s">
        <v>139</v>
      </c>
      <c r="J30" s="23"/>
      <c r="K30" s="24" t="s">
        <v>259</v>
      </c>
      <c r="L30" s="24" t="s">
        <v>126</v>
      </c>
      <c r="M30" s="24" t="s">
        <v>139</v>
      </c>
      <c r="N30" s="24"/>
    </row>
    <row r="31" customFormat="false" ht="23.85" hidden="false" customHeight="false" outlineLevel="0" collapsed="false">
      <c r="A31" s="23" t="s">
        <v>260</v>
      </c>
      <c r="B31" s="23" t="s">
        <v>240</v>
      </c>
      <c r="C31" s="23" t="s">
        <v>241</v>
      </c>
      <c r="D31" s="23" t="s">
        <v>261</v>
      </c>
      <c r="E31" s="23" t="n">
        <v>40</v>
      </c>
      <c r="F31" s="23" t="s">
        <v>36</v>
      </c>
      <c r="G31" s="23" t="s">
        <v>110</v>
      </c>
      <c r="H31" s="23" t="s">
        <v>258</v>
      </c>
      <c r="I31" s="23" t="s">
        <v>139</v>
      </c>
      <c r="J31" s="23"/>
      <c r="K31" s="24" t="s">
        <v>262</v>
      </c>
      <c r="L31" s="24" t="s">
        <v>132</v>
      </c>
      <c r="M31" s="24" t="s">
        <v>139</v>
      </c>
      <c r="N31" s="24"/>
    </row>
    <row r="32" customFormat="false" ht="15" hidden="false" customHeight="false" outlineLevel="0" collapsed="false">
      <c r="A32" s="23" t="s">
        <v>263</v>
      </c>
      <c r="B32" s="23" t="s">
        <v>240</v>
      </c>
      <c r="C32" s="23" t="s">
        <v>264</v>
      </c>
      <c r="D32" s="23" t="s">
        <v>265</v>
      </c>
      <c r="E32" s="23" t="n">
        <v>41</v>
      </c>
      <c r="F32" s="23" t="s">
        <v>266</v>
      </c>
      <c r="G32" s="23" t="s">
        <v>110</v>
      </c>
      <c r="H32" s="23" t="s">
        <v>267</v>
      </c>
      <c r="I32" s="23" t="s">
        <v>139</v>
      </c>
      <c r="J32" s="23"/>
      <c r="K32" s="24" t="s">
        <v>268</v>
      </c>
      <c r="L32" s="24" t="s">
        <v>114</v>
      </c>
      <c r="M32" s="24" t="s">
        <v>151</v>
      </c>
      <c r="N32" s="24"/>
    </row>
    <row r="33" customFormat="false" ht="23.85" hidden="false" customHeight="false" outlineLevel="0" collapsed="false">
      <c r="A33" s="23" t="s">
        <v>269</v>
      </c>
      <c r="B33" s="23" t="s">
        <v>240</v>
      </c>
      <c r="C33" s="23" t="s">
        <v>270</v>
      </c>
      <c r="D33" s="23" t="s">
        <v>271</v>
      </c>
      <c r="E33" s="23" t="n">
        <v>3</v>
      </c>
      <c r="F33" s="23" t="s">
        <v>272</v>
      </c>
      <c r="G33" s="23" t="s">
        <v>110</v>
      </c>
      <c r="H33" s="23" t="s">
        <v>258</v>
      </c>
      <c r="I33" s="23" t="s">
        <v>139</v>
      </c>
      <c r="J33" s="23"/>
      <c r="K33" s="24" t="s">
        <v>273</v>
      </c>
      <c r="L33" s="24" t="s">
        <v>126</v>
      </c>
      <c r="M33" s="24" t="s">
        <v>151</v>
      </c>
      <c r="N33" s="24"/>
    </row>
    <row r="34" customFormat="false" ht="15" hidden="false" customHeight="false" outlineLevel="0" collapsed="false">
      <c r="A34" s="23" t="s">
        <v>274</v>
      </c>
      <c r="B34" s="23" t="s">
        <v>240</v>
      </c>
      <c r="C34" s="23" t="s">
        <v>275</v>
      </c>
      <c r="D34" s="23" t="s">
        <v>276</v>
      </c>
      <c r="E34" s="23" t="n">
        <v>11</v>
      </c>
      <c r="F34" s="23" t="s">
        <v>277</v>
      </c>
      <c r="G34" s="23" t="s">
        <v>110</v>
      </c>
      <c r="H34" s="23" t="s">
        <v>278</v>
      </c>
      <c r="I34" s="23" t="s">
        <v>139</v>
      </c>
      <c r="J34" s="23"/>
      <c r="K34" s="24" t="s">
        <v>279</v>
      </c>
      <c r="L34" s="24" t="s">
        <v>126</v>
      </c>
      <c r="M34" s="24" t="s">
        <v>151</v>
      </c>
      <c r="N34" s="24"/>
    </row>
    <row r="35" customFormat="false" ht="23.85" hidden="false" customHeight="false" outlineLevel="0" collapsed="false">
      <c r="A35" s="23" t="s">
        <v>280</v>
      </c>
      <c r="B35" s="23" t="s">
        <v>240</v>
      </c>
      <c r="C35" s="23" t="s">
        <v>281</v>
      </c>
      <c r="D35" s="23" t="s">
        <v>282</v>
      </c>
      <c r="E35" s="23" t="n">
        <v>2.1</v>
      </c>
      <c r="F35" s="23" t="s">
        <v>283</v>
      </c>
      <c r="G35" s="23" t="s">
        <v>110</v>
      </c>
      <c r="H35" s="23" t="s">
        <v>249</v>
      </c>
      <c r="I35" s="23" t="s">
        <v>112</v>
      </c>
      <c r="J35" s="23"/>
      <c r="K35" s="24" t="s">
        <v>284</v>
      </c>
      <c r="L35" s="24" t="s">
        <v>126</v>
      </c>
      <c r="M35" s="24" t="s">
        <v>139</v>
      </c>
      <c r="N35" s="24"/>
    </row>
    <row r="36" customFormat="false" ht="23.85" hidden="false" customHeight="false" outlineLevel="0" collapsed="false">
      <c r="A36" s="23" t="s">
        <v>285</v>
      </c>
      <c r="B36" s="23" t="s">
        <v>240</v>
      </c>
      <c r="C36" s="23" t="s">
        <v>286</v>
      </c>
      <c r="D36" s="23" t="s">
        <v>287</v>
      </c>
      <c r="E36" s="23" t="n">
        <v>20</v>
      </c>
      <c r="F36" s="23" t="s">
        <v>58</v>
      </c>
      <c r="G36" s="23" t="s">
        <v>110</v>
      </c>
      <c r="H36" s="23" t="s">
        <v>244</v>
      </c>
      <c r="I36" s="23" t="s">
        <v>112</v>
      </c>
      <c r="J36" s="23"/>
      <c r="K36" s="24" t="s">
        <v>288</v>
      </c>
      <c r="L36" s="24" t="s">
        <v>132</v>
      </c>
      <c r="M36" s="24" t="s">
        <v>139</v>
      </c>
      <c r="N36" s="24"/>
    </row>
    <row r="37" customFormat="false" ht="15" hidden="false" customHeight="false" outlineLevel="0" collapsed="false">
      <c r="A37" s="23" t="s">
        <v>289</v>
      </c>
      <c r="B37" s="23" t="s">
        <v>240</v>
      </c>
      <c r="C37" s="23" t="s">
        <v>290</v>
      </c>
      <c r="D37" s="23" t="s">
        <v>291</v>
      </c>
      <c r="E37" s="23" t="n">
        <v>22</v>
      </c>
      <c r="F37" s="23" t="s">
        <v>36</v>
      </c>
      <c r="G37" s="23" t="s">
        <v>110</v>
      </c>
      <c r="H37" s="23" t="s">
        <v>278</v>
      </c>
      <c r="I37" s="23" t="s">
        <v>139</v>
      </c>
      <c r="J37" s="23"/>
      <c r="K37" s="24" t="s">
        <v>292</v>
      </c>
      <c r="L37" s="24" t="s">
        <v>114</v>
      </c>
      <c r="M37" s="24" t="s">
        <v>151</v>
      </c>
      <c r="N37" s="24"/>
    </row>
    <row r="38" customFormat="false" ht="23.85" hidden="false" customHeight="false" outlineLevel="0" collapsed="false">
      <c r="A38" s="23" t="s">
        <v>293</v>
      </c>
      <c r="B38" s="23" t="s">
        <v>240</v>
      </c>
      <c r="C38" s="23" t="s">
        <v>294</v>
      </c>
      <c r="D38" s="23" t="s">
        <v>295</v>
      </c>
      <c r="E38" s="23" t="n">
        <v>180</v>
      </c>
      <c r="F38" s="23" t="s">
        <v>296</v>
      </c>
      <c r="G38" s="23" t="s">
        <v>110</v>
      </c>
      <c r="H38" s="23" t="s">
        <v>267</v>
      </c>
      <c r="I38" s="23" t="s">
        <v>139</v>
      </c>
      <c r="J38" s="23"/>
      <c r="K38" s="24" t="s">
        <v>297</v>
      </c>
      <c r="L38" s="24" t="s">
        <v>114</v>
      </c>
      <c r="M38" s="24" t="s">
        <v>151</v>
      </c>
      <c r="N38" s="24"/>
    </row>
    <row r="39" customFormat="false" ht="35.05" hidden="false" customHeight="false" outlineLevel="0" collapsed="false">
      <c r="A39" s="23" t="s">
        <v>298</v>
      </c>
      <c r="B39" s="23" t="s">
        <v>299</v>
      </c>
      <c r="C39" s="23" t="s">
        <v>300</v>
      </c>
      <c r="D39" s="23" t="s">
        <v>301</v>
      </c>
      <c r="E39" s="23" t="n">
        <v>25</v>
      </c>
      <c r="F39" s="23" t="s">
        <v>136</v>
      </c>
      <c r="G39" s="23" t="s">
        <v>118</v>
      </c>
      <c r="H39" s="23" t="s">
        <v>302</v>
      </c>
      <c r="I39" s="23" t="s">
        <v>112</v>
      </c>
      <c r="J39" s="23"/>
      <c r="K39" s="24" t="s">
        <v>303</v>
      </c>
      <c r="L39" s="24" t="s">
        <v>132</v>
      </c>
      <c r="M39" s="24" t="s">
        <v>112</v>
      </c>
      <c r="N39" s="24"/>
    </row>
    <row r="40" customFormat="false" ht="23.85" hidden="false" customHeight="false" outlineLevel="0" collapsed="false">
      <c r="A40" s="23" t="s">
        <v>304</v>
      </c>
      <c r="B40" s="23" t="s">
        <v>299</v>
      </c>
      <c r="C40" s="23" t="s">
        <v>300</v>
      </c>
      <c r="D40" s="23" t="s">
        <v>305</v>
      </c>
      <c r="E40" s="23" t="n">
        <v>90</v>
      </c>
      <c r="F40" s="23" t="s">
        <v>272</v>
      </c>
      <c r="G40" s="23" t="s">
        <v>118</v>
      </c>
      <c r="H40" s="23" t="s">
        <v>306</v>
      </c>
      <c r="I40" s="23" t="s">
        <v>112</v>
      </c>
      <c r="J40" s="23"/>
      <c r="K40" s="24" t="s">
        <v>307</v>
      </c>
      <c r="L40" s="24" t="s">
        <v>132</v>
      </c>
      <c r="M40" s="24" t="s">
        <v>139</v>
      </c>
      <c r="N40" s="24"/>
    </row>
    <row r="41" customFormat="false" ht="23.85" hidden="false" customHeight="false" outlineLevel="0" collapsed="false">
      <c r="A41" s="23" t="s">
        <v>308</v>
      </c>
      <c r="B41" s="23" t="s">
        <v>299</v>
      </c>
      <c r="C41" s="23" t="s">
        <v>309</v>
      </c>
      <c r="D41" s="23" t="s">
        <v>310</v>
      </c>
      <c r="E41" s="23" t="n">
        <v>2</v>
      </c>
      <c r="F41" s="23" t="s">
        <v>311</v>
      </c>
      <c r="G41" s="23" t="s">
        <v>118</v>
      </c>
      <c r="H41" s="23" t="s">
        <v>312</v>
      </c>
      <c r="I41" s="23" t="s">
        <v>112</v>
      </c>
      <c r="J41" s="23"/>
      <c r="K41" s="24" t="s">
        <v>313</v>
      </c>
      <c r="L41" s="24" t="s">
        <v>114</v>
      </c>
      <c r="M41" s="24" t="s">
        <v>151</v>
      </c>
      <c r="N41" s="24"/>
    </row>
    <row r="42" customFormat="false" ht="23.85" hidden="false" customHeight="false" outlineLevel="0" collapsed="false">
      <c r="A42" s="23" t="s">
        <v>314</v>
      </c>
      <c r="B42" s="23" t="s">
        <v>299</v>
      </c>
      <c r="C42" s="23" t="s">
        <v>315</v>
      </c>
      <c r="D42" s="23" t="s">
        <v>316</v>
      </c>
      <c r="E42" s="23" t="s">
        <v>317</v>
      </c>
      <c r="F42" s="23"/>
      <c r="G42" s="23" t="s">
        <v>123</v>
      </c>
      <c r="H42" s="23" t="s">
        <v>318</v>
      </c>
      <c r="I42" s="23" t="s">
        <v>112</v>
      </c>
      <c r="J42" s="23"/>
      <c r="K42" s="24" t="s">
        <v>319</v>
      </c>
      <c r="L42" s="24" t="s">
        <v>132</v>
      </c>
      <c r="M42" s="24" t="s">
        <v>112</v>
      </c>
      <c r="N42" s="24"/>
    </row>
    <row r="43" customFormat="false" ht="23.85" hidden="false" customHeight="false" outlineLevel="0" collapsed="false">
      <c r="A43" s="23" t="s">
        <v>320</v>
      </c>
      <c r="B43" s="23" t="s">
        <v>299</v>
      </c>
      <c r="C43" s="23" t="s">
        <v>321</v>
      </c>
      <c r="D43" s="23" t="s">
        <v>322</v>
      </c>
      <c r="E43" s="23" t="n">
        <v>3</v>
      </c>
      <c r="F43" s="23" t="s">
        <v>323</v>
      </c>
      <c r="G43" s="23" t="s">
        <v>123</v>
      </c>
      <c r="H43" s="23" t="s">
        <v>324</v>
      </c>
      <c r="I43" s="23" t="s">
        <v>112</v>
      </c>
      <c r="J43" s="23"/>
      <c r="K43" s="24" t="s">
        <v>325</v>
      </c>
      <c r="L43" s="24" t="s">
        <v>156</v>
      </c>
      <c r="M43" s="24" t="s">
        <v>139</v>
      </c>
      <c r="N43" s="24"/>
    </row>
    <row r="44" customFormat="false" ht="23.85" hidden="false" customHeight="false" outlineLevel="0" collapsed="false">
      <c r="A44" s="23" t="s">
        <v>326</v>
      </c>
      <c r="B44" s="23" t="s">
        <v>299</v>
      </c>
      <c r="C44" s="23" t="s">
        <v>327</v>
      </c>
      <c r="D44" s="23" t="s">
        <v>328</v>
      </c>
      <c r="E44" s="23" t="n">
        <v>30</v>
      </c>
      <c r="F44" s="23" t="s">
        <v>272</v>
      </c>
      <c r="G44" s="23" t="s">
        <v>123</v>
      </c>
      <c r="H44" s="23" t="s">
        <v>329</v>
      </c>
      <c r="I44" s="23" t="s">
        <v>112</v>
      </c>
      <c r="J44" s="23"/>
      <c r="K44" s="24" t="s">
        <v>330</v>
      </c>
      <c r="L44" s="24" t="s">
        <v>132</v>
      </c>
      <c r="M44" s="24" t="s">
        <v>139</v>
      </c>
      <c r="N44" s="24"/>
    </row>
    <row r="45" customFormat="false" ht="23.85" hidden="false" customHeight="false" outlineLevel="0" collapsed="false">
      <c r="A45" s="23" t="s">
        <v>331</v>
      </c>
      <c r="B45" s="23" t="s">
        <v>299</v>
      </c>
      <c r="C45" s="23" t="s">
        <v>332</v>
      </c>
      <c r="D45" s="23" t="s">
        <v>333</v>
      </c>
      <c r="E45" s="23" t="s">
        <v>334</v>
      </c>
      <c r="F45" s="23"/>
      <c r="G45" s="23" t="s">
        <v>123</v>
      </c>
      <c r="H45" s="23" t="s">
        <v>335</v>
      </c>
      <c r="I45" s="23" t="s">
        <v>112</v>
      </c>
      <c r="J45" s="23"/>
      <c r="K45" s="24" t="s">
        <v>336</v>
      </c>
      <c r="L45" s="24" t="s">
        <v>156</v>
      </c>
      <c r="M45" s="24" t="s">
        <v>139</v>
      </c>
      <c r="N45" s="24"/>
    </row>
    <row r="46" customFormat="false" ht="46.25" hidden="false" customHeight="false" outlineLevel="0" collapsed="false">
      <c r="A46" s="23" t="s">
        <v>337</v>
      </c>
      <c r="B46" s="23" t="s">
        <v>299</v>
      </c>
      <c r="C46" s="23" t="s">
        <v>338</v>
      </c>
      <c r="D46" s="23" t="s">
        <v>339</v>
      </c>
      <c r="E46" s="23" t="s">
        <v>317</v>
      </c>
      <c r="F46" s="23"/>
      <c r="G46" s="23" t="s">
        <v>123</v>
      </c>
      <c r="H46" s="23" t="s">
        <v>340</v>
      </c>
      <c r="I46" s="23" t="s">
        <v>112</v>
      </c>
      <c r="J46" s="23"/>
      <c r="K46" s="24" t="s">
        <v>341</v>
      </c>
      <c r="L46" s="24" t="s">
        <v>132</v>
      </c>
      <c r="M46" s="24" t="s">
        <v>112</v>
      </c>
      <c r="N46" s="24"/>
    </row>
    <row r="47" customFormat="false" ht="35.05" hidden="false" customHeight="false" outlineLevel="0" collapsed="false">
      <c r="A47" s="23" t="s">
        <v>342</v>
      </c>
      <c r="B47" s="23" t="s">
        <v>299</v>
      </c>
      <c r="C47" s="23" t="s">
        <v>343</v>
      </c>
      <c r="D47" s="23" t="s">
        <v>344</v>
      </c>
      <c r="E47" s="23" t="s">
        <v>345</v>
      </c>
      <c r="F47" s="23"/>
      <c r="G47" s="23" t="s">
        <v>123</v>
      </c>
      <c r="H47" s="23" t="s">
        <v>346</v>
      </c>
      <c r="I47" s="23" t="s">
        <v>112</v>
      </c>
      <c r="J47" s="23"/>
      <c r="K47" s="24" t="s">
        <v>347</v>
      </c>
      <c r="L47" s="24" t="s">
        <v>156</v>
      </c>
      <c r="M47" s="24" t="s">
        <v>139</v>
      </c>
      <c r="N47" s="24"/>
    </row>
    <row r="48" customFormat="false" ht="23.85" hidden="false" customHeight="false" outlineLevel="0" collapsed="false">
      <c r="A48" s="23" t="s">
        <v>348</v>
      </c>
      <c r="B48" s="23" t="s">
        <v>299</v>
      </c>
      <c r="C48" s="23" t="s">
        <v>349</v>
      </c>
      <c r="D48" s="23" t="s">
        <v>350</v>
      </c>
      <c r="E48" s="23" t="s">
        <v>351</v>
      </c>
      <c r="F48" s="23"/>
      <c r="G48" s="23" t="s">
        <v>123</v>
      </c>
      <c r="H48" s="23" t="s">
        <v>352</v>
      </c>
      <c r="I48" s="23" t="s">
        <v>112</v>
      </c>
      <c r="J48" s="23"/>
      <c r="K48" s="24" t="s">
        <v>353</v>
      </c>
      <c r="L48" s="24" t="s">
        <v>156</v>
      </c>
      <c r="M48" s="24" t="s">
        <v>151</v>
      </c>
      <c r="N48" s="24"/>
    </row>
    <row r="49" customFormat="false" ht="35.05" hidden="false" customHeight="false" outlineLevel="0" collapsed="false">
      <c r="A49" s="23" t="s">
        <v>354</v>
      </c>
      <c r="B49" s="23" t="s">
        <v>299</v>
      </c>
      <c r="C49" s="23" t="s">
        <v>355</v>
      </c>
      <c r="D49" s="23" t="s">
        <v>356</v>
      </c>
      <c r="E49" s="23" t="s">
        <v>357</v>
      </c>
      <c r="F49" s="23"/>
      <c r="G49" s="23" t="s">
        <v>123</v>
      </c>
      <c r="H49" s="23" t="s">
        <v>358</v>
      </c>
      <c r="I49" s="23" t="s">
        <v>112</v>
      </c>
      <c r="J49" s="23"/>
      <c r="K49" s="24" t="s">
        <v>359</v>
      </c>
      <c r="L49" s="24" t="s">
        <v>114</v>
      </c>
      <c r="M49" s="24" t="s">
        <v>151</v>
      </c>
      <c r="N49" s="24"/>
    </row>
    <row r="50" customFormat="false" ht="35.05" hidden="false" customHeight="false" outlineLevel="0" collapsed="false">
      <c r="A50" s="26" t="s">
        <v>360</v>
      </c>
      <c r="B50" s="26" t="s">
        <v>361</v>
      </c>
      <c r="C50" s="26" t="s">
        <v>315</v>
      </c>
      <c r="D50" s="26" t="s">
        <v>362</v>
      </c>
      <c r="E50" s="26" t="s">
        <v>357</v>
      </c>
      <c r="F50" s="26"/>
      <c r="G50" s="26" t="s">
        <v>363</v>
      </c>
      <c r="H50" s="26" t="s">
        <v>364</v>
      </c>
      <c r="I50" s="26" t="s">
        <v>112</v>
      </c>
      <c r="J50" s="26"/>
      <c r="K50" s="26" t="s">
        <v>365</v>
      </c>
      <c r="L50" s="26" t="s">
        <v>132</v>
      </c>
      <c r="M50" s="26" t="s">
        <v>112</v>
      </c>
      <c r="N50" s="26" t="s">
        <v>366</v>
      </c>
    </row>
    <row r="51" customFormat="false" ht="23.85" hidden="false" customHeight="false" outlineLevel="0" collapsed="false">
      <c r="A51" s="23" t="s">
        <v>367</v>
      </c>
      <c r="B51" s="23" t="s">
        <v>361</v>
      </c>
      <c r="C51" s="23" t="s">
        <v>368</v>
      </c>
      <c r="D51" s="23" t="s">
        <v>369</v>
      </c>
      <c r="E51" s="23" t="s">
        <v>370</v>
      </c>
      <c r="F51" s="23"/>
      <c r="G51" s="23" t="s">
        <v>371</v>
      </c>
      <c r="H51" s="23" t="s">
        <v>372</v>
      </c>
      <c r="I51" s="23" t="s">
        <v>112</v>
      </c>
      <c r="J51" s="23"/>
      <c r="K51" s="24" t="s">
        <v>373</v>
      </c>
      <c r="L51" s="24" t="s">
        <v>114</v>
      </c>
      <c r="M51" s="24" t="s">
        <v>112</v>
      </c>
      <c r="N51" s="24"/>
    </row>
    <row r="52" customFormat="false" ht="23.85" hidden="false" customHeight="false" outlineLevel="0" collapsed="false">
      <c r="A52" s="23" t="s">
        <v>374</v>
      </c>
      <c r="B52" s="23" t="s">
        <v>361</v>
      </c>
      <c r="C52" s="23" t="s">
        <v>375</v>
      </c>
      <c r="D52" s="23" t="s">
        <v>376</v>
      </c>
      <c r="E52" s="23" t="n">
        <v>14</v>
      </c>
      <c r="F52" s="23" t="s">
        <v>79</v>
      </c>
      <c r="G52" s="23" t="s">
        <v>363</v>
      </c>
      <c r="H52" s="23" t="s">
        <v>377</v>
      </c>
      <c r="I52" s="23" t="s">
        <v>112</v>
      </c>
      <c r="J52" s="23"/>
      <c r="K52" s="24" t="s">
        <v>378</v>
      </c>
      <c r="L52" s="24" t="s">
        <v>132</v>
      </c>
      <c r="M52" s="24" t="s">
        <v>139</v>
      </c>
      <c r="N52" s="24"/>
    </row>
    <row r="53" customFormat="false" ht="35.05" hidden="false" customHeight="false" outlineLevel="0" collapsed="false">
      <c r="A53" s="23" t="s">
        <v>379</v>
      </c>
      <c r="B53" s="23" t="s">
        <v>361</v>
      </c>
      <c r="C53" s="23" t="s">
        <v>380</v>
      </c>
      <c r="D53" s="23" t="s">
        <v>381</v>
      </c>
      <c r="E53" s="23" t="n">
        <v>1</v>
      </c>
      <c r="F53" s="23" t="s">
        <v>382</v>
      </c>
      <c r="G53" s="23" t="s">
        <v>383</v>
      </c>
      <c r="H53" s="23" t="s">
        <v>384</v>
      </c>
      <c r="I53" s="23" t="s">
        <v>112</v>
      </c>
      <c r="J53" s="23"/>
      <c r="K53" s="24" t="s">
        <v>385</v>
      </c>
      <c r="L53" s="24" t="s">
        <v>132</v>
      </c>
      <c r="M53" s="24" t="s">
        <v>112</v>
      </c>
      <c r="N53" s="24"/>
    </row>
    <row r="54" customFormat="false" ht="23.85" hidden="false" customHeight="false" outlineLevel="0" collapsed="false">
      <c r="A54" s="23" t="s">
        <v>386</v>
      </c>
      <c r="B54" s="23" t="s">
        <v>361</v>
      </c>
      <c r="C54" s="23" t="s">
        <v>315</v>
      </c>
      <c r="D54" s="23" t="s">
        <v>387</v>
      </c>
      <c r="E54" s="23" t="n">
        <v>3</v>
      </c>
      <c r="F54" s="23" t="s">
        <v>388</v>
      </c>
      <c r="G54" s="23" t="s">
        <v>363</v>
      </c>
      <c r="H54" s="23" t="s">
        <v>389</v>
      </c>
      <c r="I54" s="23" t="s">
        <v>112</v>
      </c>
      <c r="J54" s="23"/>
      <c r="K54" s="24" t="s">
        <v>390</v>
      </c>
      <c r="L54" s="24" t="s">
        <v>126</v>
      </c>
      <c r="M54" s="24" t="s">
        <v>112</v>
      </c>
      <c r="N54" s="24"/>
    </row>
    <row r="55" customFormat="false" ht="23.85" hidden="false" customHeight="false" outlineLevel="0" collapsed="false">
      <c r="A55" s="23" t="s">
        <v>391</v>
      </c>
      <c r="B55" s="23" t="s">
        <v>361</v>
      </c>
      <c r="C55" s="23" t="s">
        <v>392</v>
      </c>
      <c r="D55" s="23" t="s">
        <v>393</v>
      </c>
      <c r="E55" s="23" t="n">
        <v>216</v>
      </c>
      <c r="F55" s="23" t="s">
        <v>394</v>
      </c>
      <c r="G55" s="23" t="s">
        <v>395</v>
      </c>
      <c r="H55" s="23" t="s">
        <v>396</v>
      </c>
      <c r="I55" s="23" t="s">
        <v>112</v>
      </c>
      <c r="J55" s="23"/>
      <c r="K55" s="24" t="s">
        <v>397</v>
      </c>
      <c r="L55" s="24" t="s">
        <v>156</v>
      </c>
      <c r="M55" s="24" t="s">
        <v>139</v>
      </c>
      <c r="N55" s="24"/>
    </row>
    <row r="56" customFormat="false" ht="23.85" hidden="false" customHeight="false" outlineLevel="0" collapsed="false">
      <c r="A56" s="23" t="s">
        <v>398</v>
      </c>
      <c r="B56" s="23" t="s">
        <v>361</v>
      </c>
      <c r="C56" s="23" t="s">
        <v>368</v>
      </c>
      <c r="D56" s="23" t="s">
        <v>399</v>
      </c>
      <c r="E56" s="23" t="n">
        <v>2</v>
      </c>
      <c r="F56" s="23" t="s">
        <v>394</v>
      </c>
      <c r="G56" s="23" t="s">
        <v>371</v>
      </c>
      <c r="H56" s="23" t="s">
        <v>400</v>
      </c>
      <c r="I56" s="23" t="s">
        <v>112</v>
      </c>
      <c r="J56" s="23"/>
      <c r="K56" s="24" t="s">
        <v>401</v>
      </c>
      <c r="L56" s="24" t="s">
        <v>132</v>
      </c>
      <c r="M56" s="24" t="s">
        <v>139</v>
      </c>
      <c r="N56" s="24"/>
    </row>
    <row r="57" customFormat="false" ht="23.85" hidden="false" customHeight="false" outlineLevel="0" collapsed="false">
      <c r="A57" s="23" t="s">
        <v>402</v>
      </c>
      <c r="B57" s="23" t="s">
        <v>361</v>
      </c>
      <c r="C57" s="23" t="s">
        <v>392</v>
      </c>
      <c r="D57" s="23" t="s">
        <v>403</v>
      </c>
      <c r="E57" s="23" t="n">
        <v>5</v>
      </c>
      <c r="F57" s="23" t="s">
        <v>394</v>
      </c>
      <c r="G57" s="23" t="s">
        <v>404</v>
      </c>
      <c r="H57" s="23" t="s">
        <v>405</v>
      </c>
      <c r="I57" s="23" t="s">
        <v>112</v>
      </c>
      <c r="J57" s="23"/>
      <c r="K57" s="24" t="s">
        <v>406</v>
      </c>
      <c r="L57" s="24" t="s">
        <v>156</v>
      </c>
      <c r="M57" s="24" t="s">
        <v>151</v>
      </c>
      <c r="N57" s="24"/>
    </row>
    <row r="58" customFormat="false" ht="35.05" hidden="false" customHeight="false" outlineLevel="0" collapsed="false">
      <c r="A58" s="23" t="s">
        <v>407</v>
      </c>
      <c r="B58" s="23" t="s">
        <v>361</v>
      </c>
      <c r="C58" s="23" t="s">
        <v>375</v>
      </c>
      <c r="D58" s="23" t="s">
        <v>408</v>
      </c>
      <c r="E58" s="23" t="s">
        <v>409</v>
      </c>
      <c r="F58" s="23" t="s">
        <v>224</v>
      </c>
      <c r="G58" s="23" t="s">
        <v>363</v>
      </c>
      <c r="H58" s="23" t="s">
        <v>410</v>
      </c>
      <c r="I58" s="23" t="s">
        <v>112</v>
      </c>
      <c r="J58" s="23"/>
      <c r="K58" s="24" t="s">
        <v>411</v>
      </c>
      <c r="L58" s="24" t="s">
        <v>114</v>
      </c>
      <c r="M58" s="24" t="s">
        <v>151</v>
      </c>
      <c r="N58" s="24"/>
    </row>
    <row r="59" customFormat="false" ht="35.05" hidden="false" customHeight="false" outlineLevel="0" collapsed="false">
      <c r="A59" s="23" t="s">
        <v>412</v>
      </c>
      <c r="B59" s="23" t="s">
        <v>361</v>
      </c>
      <c r="C59" s="23" t="s">
        <v>413</v>
      </c>
      <c r="D59" s="23" t="s">
        <v>414</v>
      </c>
      <c r="E59" s="23" t="s">
        <v>415</v>
      </c>
      <c r="F59" s="23"/>
      <c r="G59" s="23" t="s">
        <v>363</v>
      </c>
      <c r="H59" s="23" t="s">
        <v>416</v>
      </c>
      <c r="I59" s="23" t="s">
        <v>112</v>
      </c>
      <c r="J59" s="23"/>
      <c r="K59" s="24" t="s">
        <v>417</v>
      </c>
      <c r="L59" s="24" t="s">
        <v>126</v>
      </c>
      <c r="M59" s="24" t="s">
        <v>151</v>
      </c>
      <c r="N59" s="24"/>
    </row>
    <row r="60" customFormat="false" ht="23.85" hidden="false" customHeight="false" outlineLevel="0" collapsed="false">
      <c r="A60" s="23" t="s">
        <v>418</v>
      </c>
      <c r="B60" s="23" t="s">
        <v>361</v>
      </c>
      <c r="C60" s="23" t="s">
        <v>419</v>
      </c>
      <c r="D60" s="23" t="s">
        <v>420</v>
      </c>
      <c r="E60" s="23" t="s">
        <v>421</v>
      </c>
      <c r="F60" s="23"/>
      <c r="G60" s="23" t="s">
        <v>422</v>
      </c>
      <c r="H60" s="23" t="s">
        <v>405</v>
      </c>
      <c r="I60" s="23" t="s">
        <v>112</v>
      </c>
      <c r="J60" s="23"/>
      <c r="K60" s="24" t="s">
        <v>423</v>
      </c>
      <c r="L60" s="24" t="s">
        <v>114</v>
      </c>
      <c r="M60" s="24" t="s">
        <v>151</v>
      </c>
      <c r="N60" s="24"/>
    </row>
    <row r="61" customFormat="false" ht="23.85" hidden="false" customHeight="false" outlineLevel="0" collapsed="false">
      <c r="A61" s="23" t="s">
        <v>424</v>
      </c>
      <c r="B61" s="23" t="s">
        <v>361</v>
      </c>
      <c r="C61" s="23" t="s">
        <v>425</v>
      </c>
      <c r="D61" s="23" t="s">
        <v>426</v>
      </c>
      <c r="E61" s="23" t="s">
        <v>427</v>
      </c>
      <c r="F61" s="23"/>
      <c r="G61" s="23" t="s">
        <v>363</v>
      </c>
      <c r="H61" s="23" t="s">
        <v>428</v>
      </c>
      <c r="I61" s="23" t="s">
        <v>112</v>
      </c>
      <c r="J61" s="23"/>
      <c r="K61" s="24" t="s">
        <v>429</v>
      </c>
      <c r="L61" s="24" t="s">
        <v>114</v>
      </c>
      <c r="M61" s="24" t="s">
        <v>151</v>
      </c>
      <c r="N61" s="24"/>
    </row>
    <row r="62" customFormat="false" ht="23.85" hidden="false" customHeight="false" outlineLevel="0" collapsed="false">
      <c r="A62" s="23" t="s">
        <v>430</v>
      </c>
      <c r="B62" s="23" t="s">
        <v>431</v>
      </c>
      <c r="C62" s="23" t="s">
        <v>432</v>
      </c>
      <c r="D62" s="23" t="s">
        <v>433</v>
      </c>
      <c r="E62" s="23" t="n">
        <v>97.6</v>
      </c>
      <c r="F62" s="23" t="s">
        <v>36</v>
      </c>
      <c r="G62" s="23" t="s">
        <v>110</v>
      </c>
      <c r="H62" s="23" t="s">
        <v>111</v>
      </c>
      <c r="I62" s="23" t="s">
        <v>112</v>
      </c>
      <c r="J62" s="23"/>
      <c r="K62" s="24" t="s">
        <v>434</v>
      </c>
      <c r="L62" s="24" t="s">
        <v>114</v>
      </c>
      <c r="M62" s="24" t="s">
        <v>139</v>
      </c>
      <c r="N62" s="24"/>
    </row>
    <row r="63" customFormat="false" ht="23.85" hidden="false" customHeight="false" outlineLevel="0" collapsed="false">
      <c r="A63" s="23" t="s">
        <v>435</v>
      </c>
      <c r="B63" s="23" t="s">
        <v>431</v>
      </c>
      <c r="C63" s="23" t="s">
        <v>432</v>
      </c>
      <c r="D63" s="23" t="s">
        <v>436</v>
      </c>
      <c r="E63" s="23" t="n">
        <v>94.8</v>
      </c>
      <c r="F63" s="23" t="s">
        <v>36</v>
      </c>
      <c r="G63" s="23" t="s">
        <v>110</v>
      </c>
      <c r="H63" s="23" t="s">
        <v>111</v>
      </c>
      <c r="I63" s="23" t="s">
        <v>112</v>
      </c>
      <c r="J63" s="23"/>
      <c r="K63" s="24" t="s">
        <v>437</v>
      </c>
      <c r="L63" s="24" t="s">
        <v>132</v>
      </c>
      <c r="M63" s="24" t="s">
        <v>112</v>
      </c>
      <c r="N63" s="24"/>
    </row>
    <row r="64" customFormat="false" ht="23.85" hidden="false" customHeight="false" outlineLevel="0" collapsed="false">
      <c r="A64" s="23" t="s">
        <v>438</v>
      </c>
      <c r="B64" s="23" t="s">
        <v>431</v>
      </c>
      <c r="C64" s="23" t="s">
        <v>432</v>
      </c>
      <c r="D64" s="23" t="s">
        <v>439</v>
      </c>
      <c r="E64" s="23" t="n">
        <v>98.2</v>
      </c>
      <c r="F64" s="23" t="s">
        <v>36</v>
      </c>
      <c r="G64" s="23" t="s">
        <v>110</v>
      </c>
      <c r="H64" s="23" t="s">
        <v>111</v>
      </c>
      <c r="I64" s="23" t="s">
        <v>112</v>
      </c>
      <c r="J64" s="23"/>
      <c r="K64" s="24" t="s">
        <v>440</v>
      </c>
      <c r="L64" s="24" t="s">
        <v>126</v>
      </c>
      <c r="M64" s="24" t="s">
        <v>112</v>
      </c>
      <c r="N64" s="24"/>
    </row>
    <row r="65" customFormat="false" ht="23.85" hidden="false" customHeight="false" outlineLevel="0" collapsed="false">
      <c r="A65" s="23" t="s">
        <v>441</v>
      </c>
      <c r="B65" s="23" t="s">
        <v>431</v>
      </c>
      <c r="C65" s="23" t="s">
        <v>442</v>
      </c>
      <c r="D65" s="23" t="s">
        <v>443</v>
      </c>
      <c r="E65" s="23" t="n">
        <v>99.95</v>
      </c>
      <c r="F65" s="23" t="s">
        <v>36</v>
      </c>
      <c r="G65" s="23" t="s">
        <v>110</v>
      </c>
      <c r="H65" s="23" t="s">
        <v>444</v>
      </c>
      <c r="I65" s="23" t="s">
        <v>112</v>
      </c>
      <c r="J65" s="23"/>
      <c r="K65" s="24" t="s">
        <v>445</v>
      </c>
      <c r="L65" s="24" t="s">
        <v>126</v>
      </c>
      <c r="M65" s="24" t="s">
        <v>139</v>
      </c>
      <c r="N65" s="24"/>
    </row>
    <row r="66" customFormat="false" ht="23.85" hidden="false" customHeight="false" outlineLevel="0" collapsed="false">
      <c r="A66" s="23" t="s">
        <v>446</v>
      </c>
      <c r="B66" s="23" t="s">
        <v>431</v>
      </c>
      <c r="C66" s="23" t="s">
        <v>447</v>
      </c>
      <c r="D66" s="23" t="s">
        <v>448</v>
      </c>
      <c r="E66" s="23" t="n">
        <v>1400</v>
      </c>
      <c r="F66" s="23" t="s">
        <v>449</v>
      </c>
      <c r="G66" s="23" t="s">
        <v>110</v>
      </c>
      <c r="H66" s="23" t="s">
        <v>444</v>
      </c>
      <c r="I66" s="23" t="s">
        <v>112</v>
      </c>
      <c r="J66" s="23"/>
      <c r="K66" s="24" t="s">
        <v>450</v>
      </c>
      <c r="L66" s="24" t="s">
        <v>126</v>
      </c>
      <c r="M66" s="24" t="s">
        <v>151</v>
      </c>
      <c r="N66" s="24"/>
    </row>
    <row r="67" customFormat="false" ht="23.85" hidden="false" customHeight="false" outlineLevel="0" collapsed="false">
      <c r="A67" s="23" t="s">
        <v>451</v>
      </c>
      <c r="B67" s="23" t="s">
        <v>431</v>
      </c>
      <c r="C67" s="23" t="s">
        <v>392</v>
      </c>
      <c r="D67" s="23" t="s">
        <v>452</v>
      </c>
      <c r="E67" s="23" t="n">
        <v>3</v>
      </c>
      <c r="F67" s="23" t="s">
        <v>392</v>
      </c>
      <c r="G67" s="23" t="s">
        <v>110</v>
      </c>
      <c r="H67" s="23" t="s">
        <v>392</v>
      </c>
      <c r="I67" s="23" t="s">
        <v>112</v>
      </c>
      <c r="J67" s="23"/>
      <c r="K67" s="24" t="s">
        <v>453</v>
      </c>
      <c r="L67" s="24" t="s">
        <v>126</v>
      </c>
      <c r="M67" s="24" t="s">
        <v>139</v>
      </c>
      <c r="N67" s="24"/>
    </row>
    <row r="68" customFormat="false" ht="23.85" hidden="false" customHeight="false" outlineLevel="0" collapsed="false">
      <c r="A68" s="23" t="s">
        <v>454</v>
      </c>
      <c r="B68" s="23" t="s">
        <v>431</v>
      </c>
      <c r="C68" s="23" t="s">
        <v>455</v>
      </c>
      <c r="D68" s="23" t="s">
        <v>456</v>
      </c>
      <c r="E68" s="23" t="n">
        <v>97.4</v>
      </c>
      <c r="F68" s="23" t="s">
        <v>36</v>
      </c>
      <c r="G68" s="23" t="s">
        <v>110</v>
      </c>
      <c r="H68" s="23" t="s">
        <v>457</v>
      </c>
      <c r="I68" s="23" t="s">
        <v>112</v>
      </c>
      <c r="J68" s="23"/>
      <c r="K68" s="24" t="s">
        <v>458</v>
      </c>
      <c r="L68" s="24" t="s">
        <v>126</v>
      </c>
      <c r="M68" s="24" t="s">
        <v>139</v>
      </c>
      <c r="N68" s="24"/>
    </row>
    <row r="69" customFormat="false" ht="23.85" hidden="false" customHeight="false" outlineLevel="0" collapsed="false">
      <c r="A69" s="23" t="s">
        <v>459</v>
      </c>
      <c r="B69" s="23" t="s">
        <v>431</v>
      </c>
      <c r="C69" s="23" t="s">
        <v>460</v>
      </c>
      <c r="D69" s="23" t="s">
        <v>461</v>
      </c>
      <c r="E69" s="23" t="n">
        <v>2</v>
      </c>
      <c r="F69" s="23" t="s">
        <v>462</v>
      </c>
      <c r="G69" s="23" t="s">
        <v>137</v>
      </c>
      <c r="H69" s="23" t="s">
        <v>463</v>
      </c>
      <c r="I69" s="23" t="s">
        <v>112</v>
      </c>
      <c r="J69" s="23"/>
      <c r="K69" s="24" t="s">
        <v>464</v>
      </c>
      <c r="L69" s="24" t="s">
        <v>132</v>
      </c>
      <c r="M69" s="24" t="s">
        <v>151</v>
      </c>
      <c r="N69" s="24"/>
    </row>
    <row r="70" customFormat="false" ht="23.85" hidden="false" customHeight="false" outlineLevel="0" collapsed="false">
      <c r="A70" s="23" t="s">
        <v>465</v>
      </c>
      <c r="B70" s="23" t="s">
        <v>431</v>
      </c>
      <c r="C70" s="23" t="s">
        <v>466</v>
      </c>
      <c r="D70" s="23" t="s">
        <v>467</v>
      </c>
      <c r="E70" s="23" t="n">
        <v>6</v>
      </c>
      <c r="F70" s="23" t="s">
        <v>388</v>
      </c>
      <c r="G70" s="23" t="s">
        <v>137</v>
      </c>
      <c r="H70" s="23" t="s">
        <v>138</v>
      </c>
      <c r="I70" s="23" t="s">
        <v>112</v>
      </c>
      <c r="J70" s="23"/>
      <c r="K70" s="24" t="s">
        <v>468</v>
      </c>
      <c r="L70" s="24" t="s">
        <v>114</v>
      </c>
      <c r="M70" s="24" t="s">
        <v>139</v>
      </c>
      <c r="N70" s="24"/>
    </row>
    <row r="71" customFormat="false" ht="23.85" hidden="false" customHeight="false" outlineLevel="0" collapsed="false">
      <c r="A71" s="23" t="s">
        <v>469</v>
      </c>
      <c r="B71" s="23" t="s">
        <v>431</v>
      </c>
      <c r="C71" s="23" t="s">
        <v>470</v>
      </c>
      <c r="D71" s="23" t="s">
        <v>471</v>
      </c>
      <c r="E71" s="23" t="n">
        <v>3</v>
      </c>
      <c r="F71" s="23" t="s">
        <v>472</v>
      </c>
      <c r="G71" s="23" t="s">
        <v>137</v>
      </c>
      <c r="H71" s="23" t="s">
        <v>138</v>
      </c>
      <c r="I71" s="23" t="s">
        <v>112</v>
      </c>
      <c r="J71" s="23"/>
      <c r="K71" s="24" t="s">
        <v>473</v>
      </c>
      <c r="L71" s="24" t="s">
        <v>132</v>
      </c>
      <c r="M71" s="24" t="s">
        <v>139</v>
      </c>
      <c r="N71" s="24"/>
    </row>
    <row r="72" customFormat="false" ht="23.85" hidden="false" customHeight="false" outlineLevel="0" collapsed="false">
      <c r="A72" s="23" t="s">
        <v>474</v>
      </c>
      <c r="B72" s="23" t="s">
        <v>431</v>
      </c>
      <c r="C72" s="23" t="s">
        <v>475</v>
      </c>
      <c r="D72" s="23" t="s">
        <v>476</v>
      </c>
      <c r="E72" s="23" t="s">
        <v>427</v>
      </c>
      <c r="F72" s="23"/>
      <c r="G72" s="23" t="s">
        <v>137</v>
      </c>
      <c r="H72" s="23" t="s">
        <v>477</v>
      </c>
      <c r="I72" s="23" t="s">
        <v>112</v>
      </c>
      <c r="J72" s="23"/>
      <c r="K72" s="24" t="s">
        <v>478</v>
      </c>
      <c r="L72" s="24" t="s">
        <v>126</v>
      </c>
      <c r="M72" s="24" t="s">
        <v>112</v>
      </c>
      <c r="N72" s="24"/>
    </row>
    <row r="73" customFormat="false" ht="23.85" hidden="false" customHeight="false" outlineLevel="0" collapsed="false">
      <c r="A73" s="23" t="s">
        <v>479</v>
      </c>
      <c r="B73" s="23" t="s">
        <v>431</v>
      </c>
      <c r="C73" s="23" t="s">
        <v>480</v>
      </c>
      <c r="D73" s="23" t="s">
        <v>481</v>
      </c>
      <c r="E73" s="23" t="s">
        <v>357</v>
      </c>
      <c r="F73" s="23"/>
      <c r="G73" s="23" t="s">
        <v>137</v>
      </c>
      <c r="H73" s="23" t="s">
        <v>477</v>
      </c>
      <c r="I73" s="23" t="s">
        <v>112</v>
      </c>
      <c r="J73" s="23"/>
      <c r="K73" s="24" t="s">
        <v>482</v>
      </c>
      <c r="L73" s="24" t="s">
        <v>126</v>
      </c>
      <c r="M73" s="24" t="s">
        <v>151</v>
      </c>
      <c r="N73" s="24"/>
    </row>
    <row r="74" customFormat="false" ht="23.85" hidden="false" customHeight="false" outlineLevel="0" collapsed="false">
      <c r="A74" s="23" t="s">
        <v>483</v>
      </c>
      <c r="B74" s="23" t="s">
        <v>431</v>
      </c>
      <c r="C74" s="23" t="s">
        <v>466</v>
      </c>
      <c r="D74" s="23" t="s">
        <v>484</v>
      </c>
      <c r="E74" s="23" t="n">
        <v>4</v>
      </c>
      <c r="F74" s="23" t="s">
        <v>388</v>
      </c>
      <c r="G74" s="23" t="s">
        <v>485</v>
      </c>
      <c r="H74" s="23" t="s">
        <v>486</v>
      </c>
      <c r="I74" s="23" t="s">
        <v>151</v>
      </c>
      <c r="J74" s="23"/>
      <c r="K74" s="24" t="s">
        <v>487</v>
      </c>
      <c r="L74" s="24" t="s">
        <v>114</v>
      </c>
      <c r="M74" s="24" t="s">
        <v>151</v>
      </c>
      <c r="N74" s="24"/>
    </row>
  </sheetData>
  <autoFilter ref="A3:N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70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1" t="s">
        <v>488</v>
      </c>
    </row>
    <row r="2" customFormat="false" ht="15" hidden="false" customHeight="false" outlineLevel="0" collapsed="false">
      <c r="A2" s="2" t="s">
        <v>489</v>
      </c>
    </row>
    <row r="3" customFormat="false" ht="15" hidden="false" customHeight="false" outlineLevel="0" collapsed="false">
      <c r="A3" s="22" t="s">
        <v>92</v>
      </c>
      <c r="B3" s="22" t="s">
        <v>490</v>
      </c>
      <c r="C3" s="22" t="s">
        <v>94</v>
      </c>
      <c r="D3" s="22" t="s">
        <v>95</v>
      </c>
      <c r="E3" s="22" t="s">
        <v>96</v>
      </c>
      <c r="F3" s="22" t="s">
        <v>65</v>
      </c>
    </row>
    <row r="4" customFormat="false" ht="15" hidden="false" customHeight="false" outlineLevel="0" collapsed="false">
      <c r="A4" s="23" t="s">
        <v>491</v>
      </c>
      <c r="B4" s="23" t="s">
        <v>106</v>
      </c>
      <c r="C4" s="23" t="s">
        <v>492</v>
      </c>
      <c r="D4" s="23" t="s">
        <v>493</v>
      </c>
      <c r="E4" s="23" t="n">
        <v>8400</v>
      </c>
      <c r="F4" s="23" t="s">
        <v>230</v>
      </c>
    </row>
    <row r="5" customFormat="false" ht="15" hidden="false" customHeight="false" outlineLevel="0" collapsed="false">
      <c r="A5" s="23" t="s">
        <v>494</v>
      </c>
      <c r="B5" s="23" t="s">
        <v>106</v>
      </c>
      <c r="C5" s="23" t="s">
        <v>495</v>
      </c>
      <c r="D5" s="23" t="s">
        <v>496</v>
      </c>
      <c r="E5" s="23" t="n">
        <v>2.9</v>
      </c>
      <c r="F5" s="23" t="s">
        <v>36</v>
      </c>
    </row>
    <row r="6" customFormat="false" ht="15" hidden="false" customHeight="false" outlineLevel="0" collapsed="false">
      <c r="A6" s="23" t="s">
        <v>497</v>
      </c>
      <c r="B6" s="23" t="s">
        <v>106</v>
      </c>
      <c r="C6" s="23" t="s">
        <v>498</v>
      </c>
      <c r="D6" s="23" t="s">
        <v>499</v>
      </c>
      <c r="E6" s="23" t="n">
        <v>9.1</v>
      </c>
      <c r="F6" s="23" t="s">
        <v>36</v>
      </c>
    </row>
    <row r="7" customFormat="false" ht="15" hidden="false" customHeight="false" outlineLevel="0" collapsed="false">
      <c r="A7" s="23" t="s">
        <v>500</v>
      </c>
      <c r="B7" s="23" t="s">
        <v>106</v>
      </c>
      <c r="C7" s="23" t="s">
        <v>501</v>
      </c>
      <c r="D7" s="23" t="s">
        <v>502</v>
      </c>
      <c r="E7" s="23" t="n">
        <v>24</v>
      </c>
      <c r="F7" s="23" t="s">
        <v>36</v>
      </c>
    </row>
    <row r="8" customFormat="false" ht="15" hidden="false" customHeight="false" outlineLevel="0" collapsed="false">
      <c r="A8" s="23" t="s">
        <v>503</v>
      </c>
      <c r="B8" s="23" t="s">
        <v>106</v>
      </c>
      <c r="C8" s="23" t="s">
        <v>504</v>
      </c>
      <c r="D8" s="23" t="s">
        <v>505</v>
      </c>
      <c r="E8" s="23" t="n">
        <v>6</v>
      </c>
      <c r="F8" s="23" t="s">
        <v>109</v>
      </c>
    </row>
    <row r="9" customFormat="false" ht="15" hidden="false" customHeight="false" outlineLevel="0" collapsed="false">
      <c r="A9" s="23" t="s">
        <v>506</v>
      </c>
      <c r="B9" s="23" t="s">
        <v>106</v>
      </c>
      <c r="C9" s="23" t="s">
        <v>507</v>
      </c>
      <c r="D9" s="23" t="s">
        <v>508</v>
      </c>
      <c r="E9" s="23" t="n">
        <v>45</v>
      </c>
      <c r="F9" s="23" t="s">
        <v>509</v>
      </c>
    </row>
    <row r="10" customFormat="false" ht="15" hidden="false" customHeight="false" outlineLevel="0" collapsed="false">
      <c r="A10" s="23" t="s">
        <v>510</v>
      </c>
      <c r="B10" s="23" t="s">
        <v>106</v>
      </c>
      <c r="C10" s="23" t="s">
        <v>511</v>
      </c>
      <c r="D10" s="23" t="s">
        <v>512</v>
      </c>
      <c r="E10" s="23" t="n">
        <v>62</v>
      </c>
      <c r="F10" s="23" t="s">
        <v>36</v>
      </c>
    </row>
    <row r="11" customFormat="false" ht="15" hidden="false" customHeight="false" outlineLevel="0" collapsed="false">
      <c r="A11" s="23" t="s">
        <v>513</v>
      </c>
      <c r="B11" s="23" t="s">
        <v>106</v>
      </c>
      <c r="C11" s="23" t="s">
        <v>514</v>
      </c>
      <c r="D11" s="23" t="s">
        <v>515</v>
      </c>
      <c r="E11" s="23" t="n">
        <v>25.2</v>
      </c>
      <c r="F11" s="23" t="s">
        <v>36</v>
      </c>
    </row>
    <row r="12" customFormat="false" ht="15" hidden="false" customHeight="false" outlineLevel="0" collapsed="false">
      <c r="A12" s="23" t="s">
        <v>516</v>
      </c>
      <c r="B12" s="23" t="s">
        <v>106</v>
      </c>
      <c r="C12" s="23" t="s">
        <v>517</v>
      </c>
      <c r="D12" s="23" t="s">
        <v>518</v>
      </c>
      <c r="E12" s="23" t="n">
        <v>98.4</v>
      </c>
      <c r="F12" s="23" t="s">
        <v>36</v>
      </c>
    </row>
    <row r="13" customFormat="false" ht="15" hidden="false" customHeight="false" outlineLevel="0" collapsed="false">
      <c r="A13" s="23" t="s">
        <v>519</v>
      </c>
      <c r="B13" s="23" t="s">
        <v>180</v>
      </c>
      <c r="C13" s="23" t="s">
        <v>520</v>
      </c>
      <c r="D13" s="23" t="s">
        <v>521</v>
      </c>
      <c r="E13" s="23" t="n">
        <v>1.2</v>
      </c>
      <c r="F13" s="23" t="s">
        <v>522</v>
      </c>
    </row>
    <row r="14" customFormat="false" ht="15" hidden="false" customHeight="false" outlineLevel="0" collapsed="false">
      <c r="A14" s="23" t="s">
        <v>523</v>
      </c>
      <c r="B14" s="23" t="s">
        <v>180</v>
      </c>
      <c r="C14" s="23" t="s">
        <v>524</v>
      </c>
      <c r="D14" s="23" t="s">
        <v>525</v>
      </c>
      <c r="E14" s="23" t="n">
        <v>85000</v>
      </c>
      <c r="F14" s="23" t="s">
        <v>296</v>
      </c>
    </row>
    <row r="15" customFormat="false" ht="15" hidden="false" customHeight="false" outlineLevel="0" collapsed="false">
      <c r="A15" s="23" t="s">
        <v>526</v>
      </c>
      <c r="B15" s="23" t="s">
        <v>180</v>
      </c>
      <c r="C15" s="23" t="s">
        <v>527</v>
      </c>
      <c r="D15" s="23" t="s">
        <v>528</v>
      </c>
      <c r="E15" s="23" t="n">
        <v>3</v>
      </c>
      <c r="F15" s="23" t="s">
        <v>213</v>
      </c>
    </row>
    <row r="16" customFormat="false" ht="15" hidden="false" customHeight="false" outlineLevel="0" collapsed="false">
      <c r="A16" s="23" t="s">
        <v>529</v>
      </c>
      <c r="B16" s="23" t="s">
        <v>180</v>
      </c>
      <c r="C16" s="23" t="s">
        <v>524</v>
      </c>
      <c r="D16" s="23" t="s">
        <v>530</v>
      </c>
      <c r="E16" s="23" t="n">
        <v>8000</v>
      </c>
      <c r="F16" s="23" t="s">
        <v>531</v>
      </c>
    </row>
    <row r="17" customFormat="false" ht="15" hidden="false" customHeight="false" outlineLevel="0" collapsed="false">
      <c r="A17" s="23" t="s">
        <v>532</v>
      </c>
      <c r="B17" s="23" t="s">
        <v>180</v>
      </c>
      <c r="C17" s="23" t="s">
        <v>533</v>
      </c>
      <c r="D17" s="23" t="s">
        <v>534</v>
      </c>
      <c r="E17" s="23" t="n">
        <v>31</v>
      </c>
      <c r="F17" s="23" t="s">
        <v>36</v>
      </c>
    </row>
    <row r="18" customFormat="false" ht="15" hidden="false" customHeight="false" outlineLevel="0" collapsed="false">
      <c r="A18" s="23" t="s">
        <v>535</v>
      </c>
      <c r="B18" s="23" t="s">
        <v>180</v>
      </c>
      <c r="C18" s="23" t="s">
        <v>536</v>
      </c>
      <c r="D18" s="23" t="s">
        <v>537</v>
      </c>
      <c r="E18" s="23" t="n">
        <v>12</v>
      </c>
      <c r="F18" s="23" t="s">
        <v>538</v>
      </c>
    </row>
    <row r="19" customFormat="false" ht="15" hidden="false" customHeight="false" outlineLevel="0" collapsed="false">
      <c r="A19" s="23" t="s">
        <v>539</v>
      </c>
      <c r="B19" s="23" t="s">
        <v>180</v>
      </c>
      <c r="C19" s="23" t="s">
        <v>199</v>
      </c>
      <c r="D19" s="23" t="s">
        <v>540</v>
      </c>
      <c r="E19" s="23" t="s">
        <v>541</v>
      </c>
      <c r="F19" s="23"/>
    </row>
    <row r="20" customFormat="false" ht="15" hidden="false" customHeight="false" outlineLevel="0" collapsed="false">
      <c r="A20" s="23" t="s">
        <v>542</v>
      </c>
      <c r="B20" s="23" t="s">
        <v>180</v>
      </c>
      <c r="C20" s="23" t="s">
        <v>217</v>
      </c>
      <c r="D20" s="23" t="s">
        <v>543</v>
      </c>
      <c r="E20" s="23" t="n">
        <v>140</v>
      </c>
      <c r="F20" s="23" t="s">
        <v>544</v>
      </c>
    </row>
    <row r="21" customFormat="false" ht="15" hidden="false" customHeight="false" outlineLevel="0" collapsed="false">
      <c r="A21" s="23" t="s">
        <v>545</v>
      </c>
      <c r="B21" s="23" t="s">
        <v>180</v>
      </c>
      <c r="C21" s="23" t="s">
        <v>527</v>
      </c>
      <c r="D21" s="23" t="s">
        <v>546</v>
      </c>
      <c r="E21" s="23" t="n">
        <v>1900</v>
      </c>
      <c r="F21" s="23" t="s">
        <v>230</v>
      </c>
    </row>
    <row r="22" customFormat="false" ht="15" hidden="false" customHeight="false" outlineLevel="0" collapsed="false">
      <c r="A22" s="23" t="s">
        <v>547</v>
      </c>
      <c r="B22" s="23" t="s">
        <v>240</v>
      </c>
      <c r="C22" s="23" t="s">
        <v>264</v>
      </c>
      <c r="D22" s="23" t="s">
        <v>548</v>
      </c>
      <c r="E22" s="23" t="n">
        <v>4.1</v>
      </c>
      <c r="F22" s="23" t="s">
        <v>266</v>
      </c>
    </row>
    <row r="23" customFormat="false" ht="15" hidden="false" customHeight="false" outlineLevel="0" collapsed="false">
      <c r="A23" s="23" t="s">
        <v>549</v>
      </c>
      <c r="B23" s="23" t="s">
        <v>240</v>
      </c>
      <c r="C23" s="23" t="s">
        <v>550</v>
      </c>
      <c r="D23" s="23" t="s">
        <v>551</v>
      </c>
      <c r="E23" s="23" t="n">
        <v>6.5</v>
      </c>
      <c r="F23" s="23" t="s">
        <v>552</v>
      </c>
    </row>
    <row r="24" customFormat="false" ht="15" hidden="false" customHeight="false" outlineLevel="0" collapsed="false">
      <c r="A24" s="23" t="s">
        <v>553</v>
      </c>
      <c r="B24" s="23" t="s">
        <v>240</v>
      </c>
      <c r="C24" s="23" t="s">
        <v>550</v>
      </c>
      <c r="D24" s="23" t="s">
        <v>554</v>
      </c>
      <c r="E24" s="23" t="n">
        <v>62</v>
      </c>
      <c r="F24" s="23" t="s">
        <v>36</v>
      </c>
    </row>
    <row r="25" customFormat="false" ht="15" hidden="false" customHeight="false" outlineLevel="0" collapsed="false">
      <c r="A25" s="23" t="s">
        <v>555</v>
      </c>
      <c r="B25" s="23" t="s">
        <v>240</v>
      </c>
      <c r="C25" s="23" t="s">
        <v>556</v>
      </c>
      <c r="D25" s="23" t="s">
        <v>557</v>
      </c>
      <c r="E25" s="23" t="n">
        <v>4.3</v>
      </c>
      <c r="F25" s="23" t="s">
        <v>266</v>
      </c>
    </row>
    <row r="26" customFormat="false" ht="15" hidden="false" customHeight="false" outlineLevel="0" collapsed="false">
      <c r="A26" s="23" t="s">
        <v>558</v>
      </c>
      <c r="B26" s="23" t="s">
        <v>240</v>
      </c>
      <c r="C26" s="23" t="s">
        <v>559</v>
      </c>
      <c r="D26" s="23" t="s">
        <v>560</v>
      </c>
      <c r="E26" s="23" t="n">
        <v>18</v>
      </c>
      <c r="F26" s="23" t="s">
        <v>36</v>
      </c>
    </row>
    <row r="27" customFormat="false" ht="23.85" hidden="false" customHeight="false" outlineLevel="0" collapsed="false">
      <c r="A27" s="23" t="s">
        <v>561</v>
      </c>
      <c r="B27" s="23" t="s">
        <v>240</v>
      </c>
      <c r="C27" s="23" t="s">
        <v>562</v>
      </c>
      <c r="D27" s="23" t="s">
        <v>563</v>
      </c>
      <c r="E27" s="23" t="n">
        <v>3</v>
      </c>
      <c r="F27" s="23" t="s">
        <v>272</v>
      </c>
    </row>
    <row r="28" customFormat="false" ht="15" hidden="false" customHeight="false" outlineLevel="0" collapsed="false">
      <c r="A28" s="23" t="s">
        <v>564</v>
      </c>
      <c r="B28" s="23" t="s">
        <v>240</v>
      </c>
      <c r="C28" s="23" t="s">
        <v>550</v>
      </c>
      <c r="D28" s="23" t="s">
        <v>565</v>
      </c>
      <c r="E28" s="23" t="n">
        <v>6</v>
      </c>
      <c r="F28" s="23" t="s">
        <v>277</v>
      </c>
    </row>
    <row r="29" customFormat="false" ht="15" hidden="false" customHeight="false" outlineLevel="0" collapsed="false">
      <c r="A29" s="23" t="s">
        <v>566</v>
      </c>
      <c r="B29" s="23" t="s">
        <v>240</v>
      </c>
      <c r="C29" s="23" t="s">
        <v>241</v>
      </c>
      <c r="D29" s="23" t="s">
        <v>567</v>
      </c>
      <c r="E29" s="23" t="n">
        <v>150</v>
      </c>
      <c r="F29" s="23" t="s">
        <v>243</v>
      </c>
    </row>
    <row r="30" customFormat="false" ht="15" hidden="false" customHeight="false" outlineLevel="0" collapsed="false">
      <c r="A30" s="23" t="s">
        <v>568</v>
      </c>
      <c r="B30" s="23" t="s">
        <v>299</v>
      </c>
      <c r="C30" s="23" t="s">
        <v>569</v>
      </c>
      <c r="D30" s="23" t="s">
        <v>570</v>
      </c>
      <c r="E30" s="23" t="n">
        <v>14</v>
      </c>
      <c r="F30" s="23" t="s">
        <v>571</v>
      </c>
    </row>
    <row r="31" customFormat="false" ht="15" hidden="false" customHeight="false" outlineLevel="0" collapsed="false">
      <c r="A31" s="23" t="s">
        <v>572</v>
      </c>
      <c r="B31" s="23" t="s">
        <v>299</v>
      </c>
      <c r="C31" s="23" t="s">
        <v>573</v>
      </c>
      <c r="D31" s="23" t="s">
        <v>574</v>
      </c>
      <c r="E31" s="23" t="s">
        <v>575</v>
      </c>
      <c r="F31" s="23"/>
    </row>
    <row r="32" customFormat="false" ht="15" hidden="false" customHeight="false" outlineLevel="0" collapsed="false">
      <c r="A32" s="23" t="s">
        <v>576</v>
      </c>
      <c r="B32" s="23" t="s">
        <v>299</v>
      </c>
      <c r="C32" s="23" t="s">
        <v>577</v>
      </c>
      <c r="D32" s="23" t="s">
        <v>578</v>
      </c>
      <c r="E32" s="23" t="n">
        <v>3</v>
      </c>
      <c r="F32" s="23" t="s">
        <v>579</v>
      </c>
    </row>
    <row r="33" customFormat="false" ht="15" hidden="false" customHeight="false" outlineLevel="0" collapsed="false">
      <c r="A33" s="23" t="s">
        <v>580</v>
      </c>
      <c r="B33" s="23" t="s">
        <v>299</v>
      </c>
      <c r="C33" s="23" t="s">
        <v>581</v>
      </c>
      <c r="D33" s="23" t="s">
        <v>582</v>
      </c>
      <c r="E33" s="23" t="s">
        <v>583</v>
      </c>
      <c r="F33" s="23"/>
    </row>
    <row r="34" customFormat="false" ht="23.85" hidden="false" customHeight="false" outlineLevel="0" collapsed="false">
      <c r="A34" s="23" t="s">
        <v>584</v>
      </c>
      <c r="B34" s="23" t="s">
        <v>299</v>
      </c>
      <c r="C34" s="23" t="s">
        <v>577</v>
      </c>
      <c r="D34" s="23" t="s">
        <v>585</v>
      </c>
      <c r="E34" s="23" t="n">
        <v>100</v>
      </c>
      <c r="F34" s="23" t="s">
        <v>36</v>
      </c>
    </row>
    <row r="35" customFormat="false" ht="15" hidden="false" customHeight="false" outlineLevel="0" collapsed="false">
      <c r="A35" s="23" t="s">
        <v>586</v>
      </c>
      <c r="B35" s="23" t="s">
        <v>299</v>
      </c>
      <c r="C35" s="23" t="s">
        <v>581</v>
      </c>
      <c r="D35" s="23" t="s">
        <v>587</v>
      </c>
      <c r="E35" s="23" t="s">
        <v>588</v>
      </c>
      <c r="F35" s="23"/>
    </row>
    <row r="36" customFormat="false" ht="15" hidden="false" customHeight="false" outlineLevel="0" collapsed="false">
      <c r="A36" s="23" t="s">
        <v>589</v>
      </c>
      <c r="B36" s="23" t="s">
        <v>299</v>
      </c>
      <c r="C36" s="23" t="s">
        <v>590</v>
      </c>
      <c r="D36" s="23" t="s">
        <v>591</v>
      </c>
      <c r="E36" s="23" t="n">
        <v>60</v>
      </c>
      <c r="F36" s="23" t="s">
        <v>272</v>
      </c>
    </row>
    <row r="37" customFormat="false" ht="15" hidden="false" customHeight="false" outlineLevel="0" collapsed="false">
      <c r="A37" s="23" t="s">
        <v>592</v>
      </c>
      <c r="B37" s="23" t="s">
        <v>299</v>
      </c>
      <c r="C37" s="23" t="s">
        <v>577</v>
      </c>
      <c r="D37" s="23" t="s">
        <v>593</v>
      </c>
      <c r="E37" s="23" t="s">
        <v>594</v>
      </c>
      <c r="F37" s="23"/>
    </row>
    <row r="38" customFormat="false" ht="15" hidden="false" customHeight="false" outlineLevel="0" collapsed="false">
      <c r="A38" s="23" t="s">
        <v>595</v>
      </c>
      <c r="B38" s="23" t="s">
        <v>361</v>
      </c>
      <c r="C38" s="23" t="s">
        <v>596</v>
      </c>
      <c r="D38" s="23" t="s">
        <v>597</v>
      </c>
      <c r="E38" s="23" t="n">
        <v>7</v>
      </c>
      <c r="F38" s="23" t="s">
        <v>36</v>
      </c>
    </row>
    <row r="39" customFormat="false" ht="15" hidden="false" customHeight="false" outlineLevel="0" collapsed="false">
      <c r="A39" s="23" t="s">
        <v>598</v>
      </c>
      <c r="B39" s="23" t="s">
        <v>361</v>
      </c>
      <c r="C39" s="23" t="s">
        <v>599</v>
      </c>
      <c r="D39" s="23" t="s">
        <v>600</v>
      </c>
      <c r="E39" s="23" t="n">
        <v>99</v>
      </c>
      <c r="F39" s="23" t="s">
        <v>36</v>
      </c>
    </row>
    <row r="40" customFormat="false" ht="15" hidden="false" customHeight="false" outlineLevel="0" collapsed="false">
      <c r="A40" s="23" t="s">
        <v>601</v>
      </c>
      <c r="B40" s="23" t="s">
        <v>361</v>
      </c>
      <c r="C40" s="23" t="s">
        <v>375</v>
      </c>
      <c r="D40" s="23" t="s">
        <v>602</v>
      </c>
      <c r="E40" s="23" t="s">
        <v>603</v>
      </c>
      <c r="F40" s="23"/>
    </row>
    <row r="41" customFormat="false" ht="15" hidden="false" customHeight="false" outlineLevel="0" collapsed="false">
      <c r="A41" s="23" t="s">
        <v>604</v>
      </c>
      <c r="B41" s="23" t="s">
        <v>361</v>
      </c>
      <c r="C41" s="23" t="s">
        <v>605</v>
      </c>
      <c r="D41" s="23" t="s">
        <v>606</v>
      </c>
      <c r="E41" s="23" t="s">
        <v>607</v>
      </c>
      <c r="F41" s="23"/>
    </row>
    <row r="42" customFormat="false" ht="15" hidden="false" customHeight="false" outlineLevel="0" collapsed="false">
      <c r="A42" s="23" t="s">
        <v>608</v>
      </c>
      <c r="B42" s="23" t="s">
        <v>361</v>
      </c>
      <c r="C42" s="23" t="s">
        <v>609</v>
      </c>
      <c r="D42" s="23" t="s">
        <v>610</v>
      </c>
      <c r="E42" s="23" t="n">
        <v>96</v>
      </c>
      <c r="F42" s="23" t="s">
        <v>36</v>
      </c>
    </row>
    <row r="43" customFormat="false" ht="15" hidden="false" customHeight="false" outlineLevel="0" collapsed="false">
      <c r="A43" s="23" t="s">
        <v>611</v>
      </c>
      <c r="B43" s="23" t="s">
        <v>361</v>
      </c>
      <c r="C43" s="23" t="s">
        <v>612</v>
      </c>
      <c r="D43" s="23" t="s">
        <v>613</v>
      </c>
      <c r="E43" s="23" t="s">
        <v>614</v>
      </c>
      <c r="F43" s="23"/>
    </row>
    <row r="44" customFormat="false" ht="23.85" hidden="false" customHeight="false" outlineLevel="0" collapsed="false">
      <c r="A44" s="23" t="s">
        <v>615</v>
      </c>
      <c r="B44" s="23" t="s">
        <v>361</v>
      </c>
      <c r="C44" s="23" t="s">
        <v>616</v>
      </c>
      <c r="D44" s="23" t="s">
        <v>617</v>
      </c>
      <c r="E44" s="23" t="s">
        <v>618</v>
      </c>
      <c r="F44" s="23"/>
    </row>
    <row r="45" customFormat="false" ht="15" hidden="false" customHeight="false" outlineLevel="0" collapsed="false">
      <c r="A45" s="23" t="s">
        <v>619</v>
      </c>
      <c r="B45" s="23" t="s">
        <v>361</v>
      </c>
      <c r="C45" s="23" t="s">
        <v>596</v>
      </c>
      <c r="D45" s="23" t="s">
        <v>620</v>
      </c>
      <c r="E45" s="23" t="n">
        <v>94</v>
      </c>
      <c r="F45" s="23" t="s">
        <v>36</v>
      </c>
    </row>
    <row r="46" customFormat="false" ht="15" hidden="false" customHeight="false" outlineLevel="0" collapsed="false">
      <c r="A46" s="23" t="s">
        <v>621</v>
      </c>
      <c r="B46" s="23" t="s">
        <v>431</v>
      </c>
      <c r="C46" s="23" t="s">
        <v>622</v>
      </c>
      <c r="D46" s="23" t="s">
        <v>623</v>
      </c>
      <c r="E46" s="23" t="n">
        <v>99.97</v>
      </c>
      <c r="F46" s="23" t="s">
        <v>36</v>
      </c>
    </row>
    <row r="47" customFormat="false" ht="15" hidden="false" customHeight="false" outlineLevel="0" collapsed="false">
      <c r="A47" s="23" t="s">
        <v>624</v>
      </c>
      <c r="B47" s="23" t="s">
        <v>431</v>
      </c>
      <c r="C47" s="23" t="s">
        <v>625</v>
      </c>
      <c r="D47" s="23" t="s">
        <v>626</v>
      </c>
      <c r="E47" s="23" t="n">
        <v>120</v>
      </c>
      <c r="F47" s="23" t="s">
        <v>544</v>
      </c>
    </row>
    <row r="48" customFormat="false" ht="15" hidden="false" customHeight="false" outlineLevel="0" collapsed="false">
      <c r="A48" s="23" t="s">
        <v>627</v>
      </c>
      <c r="B48" s="23" t="s">
        <v>431</v>
      </c>
      <c r="C48" s="23" t="s">
        <v>628</v>
      </c>
      <c r="D48" s="23" t="s">
        <v>629</v>
      </c>
      <c r="E48" s="23" t="n">
        <v>18</v>
      </c>
      <c r="F48" s="23" t="s">
        <v>36</v>
      </c>
    </row>
    <row r="49" customFormat="false" ht="15" hidden="false" customHeight="false" outlineLevel="0" collapsed="false">
      <c r="A49" s="23" t="s">
        <v>630</v>
      </c>
      <c r="B49" s="23" t="s">
        <v>431</v>
      </c>
      <c r="C49" s="23" t="s">
        <v>631</v>
      </c>
      <c r="D49" s="23" t="s">
        <v>632</v>
      </c>
      <c r="E49" s="23" t="n">
        <v>1.4</v>
      </c>
      <c r="F49" s="23" t="s">
        <v>109</v>
      </c>
    </row>
    <row r="50" customFormat="false" ht="15" hidden="false" customHeight="false" outlineLevel="0" collapsed="false">
      <c r="A50" s="23" t="s">
        <v>633</v>
      </c>
      <c r="B50" s="23" t="s">
        <v>431</v>
      </c>
      <c r="C50" s="23" t="s">
        <v>634</v>
      </c>
      <c r="D50" s="23" t="s">
        <v>635</v>
      </c>
      <c r="E50" s="23" t="n">
        <v>2</v>
      </c>
      <c r="F50" s="23" t="s">
        <v>636</v>
      </c>
    </row>
    <row r="51" customFormat="false" ht="15" hidden="false" customHeight="false" outlineLevel="0" collapsed="false">
      <c r="A51" s="23" t="s">
        <v>637</v>
      </c>
      <c r="B51" s="23" t="s">
        <v>431</v>
      </c>
      <c r="C51" s="23" t="s">
        <v>616</v>
      </c>
      <c r="D51" s="23" t="s">
        <v>638</v>
      </c>
      <c r="E51" s="23" t="n">
        <v>42</v>
      </c>
      <c r="F51" s="23" t="s">
        <v>639</v>
      </c>
    </row>
    <row r="52" customFormat="false" ht="15" hidden="false" customHeight="false" outlineLevel="0" collapsed="false">
      <c r="A52" s="23" t="s">
        <v>640</v>
      </c>
      <c r="B52" s="23" t="s">
        <v>431</v>
      </c>
      <c r="C52" s="23" t="s">
        <v>641</v>
      </c>
      <c r="D52" s="23" t="s">
        <v>642</v>
      </c>
      <c r="E52" s="23" t="n">
        <v>210</v>
      </c>
      <c r="F52" s="23" t="s">
        <v>643</v>
      </c>
    </row>
    <row r="53" customFormat="false" ht="15" hidden="false" customHeight="false" outlineLevel="0" collapsed="false">
      <c r="A53" s="23" t="s">
        <v>644</v>
      </c>
      <c r="B53" s="23" t="s">
        <v>431</v>
      </c>
      <c r="C53" s="23" t="s">
        <v>392</v>
      </c>
      <c r="D53" s="23" t="s">
        <v>645</v>
      </c>
      <c r="E53" s="23" t="n">
        <v>48</v>
      </c>
      <c r="F53" s="23" t="s">
        <v>552</v>
      </c>
    </row>
    <row r="54" customFormat="false" ht="15" hidden="false" customHeight="false" outlineLevel="0" collapsed="false">
      <c r="A54" s="23" t="s">
        <v>646</v>
      </c>
      <c r="B54" s="23" t="s">
        <v>431</v>
      </c>
      <c r="C54" s="23" t="s">
        <v>647</v>
      </c>
      <c r="D54" s="23" t="s">
        <v>648</v>
      </c>
      <c r="E54" s="23" t="n">
        <v>4</v>
      </c>
      <c r="F54" s="23" t="s">
        <v>552</v>
      </c>
    </row>
    <row r="55" customFormat="false" ht="15" hidden="false" customHeight="false" outlineLevel="0" collapsed="false">
      <c r="A55" s="23" t="s">
        <v>649</v>
      </c>
      <c r="B55" s="23" t="s">
        <v>431</v>
      </c>
      <c r="C55" s="23" t="s">
        <v>650</v>
      </c>
      <c r="D55" s="23" t="s">
        <v>651</v>
      </c>
      <c r="E55" s="23" t="n">
        <v>3</v>
      </c>
      <c r="F55" s="23" t="s">
        <v>652</v>
      </c>
    </row>
    <row r="56" customFormat="false" ht="15" hidden="false" customHeight="false" outlineLevel="0" collapsed="false">
      <c r="A56" s="23" t="s">
        <v>653</v>
      </c>
      <c r="B56" s="23" t="s">
        <v>431</v>
      </c>
      <c r="C56" s="23" t="s">
        <v>517</v>
      </c>
      <c r="D56" s="23" t="s">
        <v>654</v>
      </c>
      <c r="E56" s="23" t="n">
        <v>85</v>
      </c>
      <c r="F56" s="23" t="s">
        <v>538</v>
      </c>
    </row>
    <row r="57" customFormat="false" ht="15" hidden="false" customHeight="false" outlineLevel="0" collapsed="false">
      <c r="A57" s="23" t="s">
        <v>655</v>
      </c>
      <c r="B57" s="23" t="s">
        <v>106</v>
      </c>
      <c r="C57" s="23" t="s">
        <v>656</v>
      </c>
      <c r="D57" s="23" t="s">
        <v>657</v>
      </c>
      <c r="E57" s="23" t="n">
        <v>70</v>
      </c>
      <c r="F57" s="23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52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40"/>
    <col collapsed="false" customWidth="true" hidden="false" outlineLevel="0" max="8" min="8" style="0" width="12"/>
  </cols>
  <sheetData>
    <row r="1" customFormat="false" ht="16.15" hidden="false" customHeight="false" outlineLevel="0" collapsed="false">
      <c r="A1" s="1" t="s">
        <v>658</v>
      </c>
    </row>
    <row r="2" customFormat="false" ht="15" hidden="false" customHeight="false" outlineLevel="0" collapsed="false">
      <c r="A2" s="2" t="s">
        <v>659</v>
      </c>
    </row>
    <row r="3" customFormat="false" ht="23.85" hidden="false" customHeight="false" outlineLevel="0" collapsed="false">
      <c r="A3" s="22" t="s">
        <v>660</v>
      </c>
      <c r="B3" s="22" t="s">
        <v>661</v>
      </c>
      <c r="C3" s="22" t="s">
        <v>662</v>
      </c>
      <c r="D3" s="22" t="s">
        <v>663</v>
      </c>
      <c r="E3" s="22" t="s">
        <v>664</v>
      </c>
      <c r="F3" s="22" t="s">
        <v>665</v>
      </c>
      <c r="G3" s="22" t="s">
        <v>666</v>
      </c>
      <c r="H3" s="22" t="s">
        <v>667</v>
      </c>
    </row>
    <row r="4" customFormat="false" ht="120" hidden="false" customHeight="true" outlineLevel="0" collapsed="false">
      <c r="A4" s="23" t="s">
        <v>668</v>
      </c>
      <c r="B4" s="23" t="s">
        <v>106</v>
      </c>
      <c r="C4" s="23" t="s">
        <v>669</v>
      </c>
      <c r="D4" s="23" t="s">
        <v>670</v>
      </c>
      <c r="E4" s="23" t="s">
        <v>671</v>
      </c>
      <c r="F4" s="23" t="s">
        <v>672</v>
      </c>
      <c r="G4" s="23" t="s">
        <v>673</v>
      </c>
      <c r="H4" s="23" t="n">
        <f aca="false">COUNTIF('Planted Facts'!$B$4:$B$74,B4)</f>
        <v>12</v>
      </c>
    </row>
    <row r="5" customFormat="false" ht="120" hidden="false" customHeight="true" outlineLevel="0" collapsed="false">
      <c r="A5" s="23" t="s">
        <v>674</v>
      </c>
      <c r="B5" s="23" t="s">
        <v>180</v>
      </c>
      <c r="C5" s="23" t="s">
        <v>675</v>
      </c>
      <c r="D5" s="23" t="s">
        <v>676</v>
      </c>
      <c r="E5" s="23" t="s">
        <v>677</v>
      </c>
      <c r="F5" s="23" t="s">
        <v>672</v>
      </c>
      <c r="G5" s="23" t="s">
        <v>678</v>
      </c>
      <c r="H5" s="23" t="n">
        <f aca="false">COUNTIF('Planted Facts'!$B$4:$B$74,B5)</f>
        <v>11</v>
      </c>
    </row>
    <row r="6" customFormat="false" ht="120" hidden="false" customHeight="true" outlineLevel="0" collapsed="false">
      <c r="A6" s="23" t="s">
        <v>679</v>
      </c>
      <c r="B6" s="23" t="s">
        <v>240</v>
      </c>
      <c r="C6" s="23" t="s">
        <v>680</v>
      </c>
      <c r="D6" s="23" t="s">
        <v>681</v>
      </c>
      <c r="E6" s="23" t="s">
        <v>682</v>
      </c>
      <c r="F6" s="23" t="s">
        <v>672</v>
      </c>
      <c r="G6" s="23" t="s">
        <v>683</v>
      </c>
      <c r="H6" s="23" t="n">
        <f aca="false">COUNTIF('Planted Facts'!$B$4:$B$74,B6)</f>
        <v>12</v>
      </c>
    </row>
    <row r="7" customFormat="false" ht="120" hidden="false" customHeight="true" outlineLevel="0" collapsed="false">
      <c r="A7" s="23" t="s">
        <v>684</v>
      </c>
      <c r="B7" s="23" t="s">
        <v>299</v>
      </c>
      <c r="C7" s="23" t="s">
        <v>685</v>
      </c>
      <c r="D7" s="23" t="s">
        <v>686</v>
      </c>
      <c r="E7" s="23" t="s">
        <v>687</v>
      </c>
      <c r="F7" s="23" t="s">
        <v>672</v>
      </c>
      <c r="G7" s="23" t="s">
        <v>688</v>
      </c>
      <c r="H7" s="23" t="n">
        <f aca="false">COUNTIF('Planted Facts'!$B$4:$B$74,B7)</f>
        <v>11</v>
      </c>
    </row>
    <row r="8" customFormat="false" ht="120" hidden="false" customHeight="true" outlineLevel="0" collapsed="false">
      <c r="A8" s="23" t="s">
        <v>689</v>
      </c>
      <c r="B8" s="23" t="s">
        <v>361</v>
      </c>
      <c r="C8" s="23" t="s">
        <v>690</v>
      </c>
      <c r="D8" s="23" t="s">
        <v>691</v>
      </c>
      <c r="E8" s="23" t="s">
        <v>687</v>
      </c>
      <c r="F8" s="23" t="s">
        <v>366</v>
      </c>
      <c r="G8" s="23" t="s">
        <v>692</v>
      </c>
      <c r="H8" s="23" t="n">
        <f aca="false">COUNTIF('Planted Facts'!$B$4:$B$74,B8)</f>
        <v>12</v>
      </c>
    </row>
    <row r="9" customFormat="false" ht="120" hidden="false" customHeight="true" outlineLevel="0" collapsed="false">
      <c r="A9" s="23" t="s">
        <v>693</v>
      </c>
      <c r="B9" s="23" t="s">
        <v>431</v>
      </c>
      <c r="C9" s="23" t="s">
        <v>694</v>
      </c>
      <c r="D9" s="23" t="s">
        <v>695</v>
      </c>
      <c r="E9" s="23" t="s">
        <v>99</v>
      </c>
      <c r="F9" s="23" t="s">
        <v>672</v>
      </c>
      <c r="G9" s="23" t="s">
        <v>696</v>
      </c>
      <c r="H9" s="23" t="n">
        <f aca="false">COUNTIF('Planted Facts'!$B$4:$B$74,B9)</f>
        <v>13</v>
      </c>
    </row>
    <row r="10" customFormat="false" ht="15" hidden="false" customHeight="false" outlineLevel="0" collapsed="false">
      <c r="G10" s="3" t="s">
        <v>697</v>
      </c>
      <c r="H10" s="3" t="n">
        <f aca="false">SUM(H4:H9)</f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34"/>
  </cols>
  <sheetData>
    <row r="1" customFormat="false" ht="16.15" hidden="false" customHeight="false" outlineLevel="0" collapsed="false">
      <c r="A1" s="1" t="s">
        <v>698</v>
      </c>
    </row>
    <row r="2" customFormat="false" ht="15" hidden="false" customHeight="false" outlineLevel="0" collapsed="false">
      <c r="A2" s="2" t="s">
        <v>699</v>
      </c>
    </row>
    <row r="3" customFormat="false" ht="15" hidden="false" customHeight="false" outlineLevel="0" collapsed="false">
      <c r="A3" s="22" t="s">
        <v>700</v>
      </c>
      <c r="B3" s="22" t="s">
        <v>701</v>
      </c>
      <c r="C3" s="22" t="s">
        <v>702</v>
      </c>
      <c r="D3" s="22" t="s">
        <v>703</v>
      </c>
      <c r="E3" s="22" t="s">
        <v>704</v>
      </c>
      <c r="F3" s="22" t="s">
        <v>705</v>
      </c>
    </row>
    <row r="4" customFormat="false" ht="23.85" hidden="false" customHeight="false" outlineLevel="0" collapsed="false">
      <c r="A4" s="23" t="s">
        <v>706</v>
      </c>
      <c r="B4" s="23" t="s">
        <v>707</v>
      </c>
      <c r="C4" s="23" t="s">
        <v>708</v>
      </c>
      <c r="D4" s="23"/>
      <c r="E4" s="23"/>
      <c r="F4" s="23" t="s">
        <v>709</v>
      </c>
    </row>
    <row r="5" customFormat="false" ht="23.85" hidden="false" customHeight="false" outlineLevel="0" collapsed="false">
      <c r="A5" s="23" t="s">
        <v>710</v>
      </c>
      <c r="B5" s="23" t="s">
        <v>711</v>
      </c>
      <c r="C5" s="23" t="s">
        <v>712</v>
      </c>
      <c r="D5" s="23"/>
      <c r="E5" s="23" t="s">
        <v>713</v>
      </c>
      <c r="F5" s="23" t="s">
        <v>714</v>
      </c>
    </row>
    <row r="6" customFormat="false" ht="23.85" hidden="false" customHeight="false" outlineLevel="0" collapsed="false">
      <c r="A6" s="23" t="s">
        <v>715</v>
      </c>
      <c r="B6" s="23" t="s">
        <v>716</v>
      </c>
      <c r="C6" s="23" t="s">
        <v>717</v>
      </c>
      <c r="D6" s="23" t="s">
        <v>240</v>
      </c>
      <c r="E6" s="23" t="s">
        <v>431</v>
      </c>
      <c r="F6" s="23" t="s">
        <v>718</v>
      </c>
    </row>
    <row r="7" customFormat="false" ht="23.85" hidden="false" customHeight="false" outlineLevel="0" collapsed="false">
      <c r="A7" s="23" t="s">
        <v>719</v>
      </c>
      <c r="B7" s="23" t="s">
        <v>720</v>
      </c>
      <c r="C7" s="23" t="s">
        <v>721</v>
      </c>
      <c r="D7" s="23" t="s">
        <v>299</v>
      </c>
      <c r="E7" s="23" t="s">
        <v>722</v>
      </c>
      <c r="F7" s="23" t="s">
        <v>723</v>
      </c>
    </row>
    <row r="8" customFormat="false" ht="23.85" hidden="false" customHeight="false" outlineLevel="0" collapsed="false">
      <c r="A8" s="23" t="s">
        <v>724</v>
      </c>
      <c r="B8" s="23" t="s">
        <v>725</v>
      </c>
      <c r="C8" s="23" t="s">
        <v>726</v>
      </c>
      <c r="D8" s="23" t="s">
        <v>299</v>
      </c>
      <c r="E8" s="23" t="s">
        <v>240</v>
      </c>
      <c r="F8" s="23" t="s">
        <v>727</v>
      </c>
    </row>
    <row r="9" customFormat="false" ht="23.85" hidden="false" customHeight="false" outlineLevel="0" collapsed="false">
      <c r="A9" s="23" t="s">
        <v>728</v>
      </c>
      <c r="B9" s="23" t="s">
        <v>729</v>
      </c>
      <c r="C9" s="23" t="s">
        <v>730</v>
      </c>
      <c r="D9" s="23" t="s">
        <v>722</v>
      </c>
      <c r="E9" s="23"/>
      <c r="F9" s="23" t="s">
        <v>731</v>
      </c>
    </row>
    <row r="10" customFormat="false" ht="23.85" hidden="false" customHeight="false" outlineLevel="0" collapsed="false">
      <c r="A10" s="23" t="s">
        <v>732</v>
      </c>
      <c r="B10" s="23" t="s">
        <v>733</v>
      </c>
      <c r="C10" s="23" t="s">
        <v>734</v>
      </c>
      <c r="D10" s="23" t="s">
        <v>180</v>
      </c>
      <c r="E10" s="23"/>
      <c r="F10" s="23" t="s">
        <v>735</v>
      </c>
    </row>
    <row r="11" customFormat="false" ht="23.85" hidden="false" customHeight="false" outlineLevel="0" collapsed="false">
      <c r="A11" s="23" t="s">
        <v>736</v>
      </c>
      <c r="B11" s="23" t="s">
        <v>737</v>
      </c>
      <c r="C11" s="23" t="s">
        <v>738</v>
      </c>
      <c r="D11" s="23" t="s">
        <v>299</v>
      </c>
      <c r="E11" s="23" t="s">
        <v>713</v>
      </c>
      <c r="F11" s="23" t="s">
        <v>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60"/>
  </cols>
  <sheetData>
    <row r="1" customFormat="false" ht="16.15" hidden="false" customHeight="false" outlineLevel="0" collapsed="false">
      <c r="A1" s="1" t="s">
        <v>740</v>
      </c>
    </row>
    <row r="2" customFormat="false" ht="15" hidden="false" customHeight="false" outlineLevel="0" collapsed="false">
      <c r="A2" s="2" t="s">
        <v>741</v>
      </c>
    </row>
    <row r="3" customFormat="false" ht="15" hidden="false" customHeight="false" outlineLevel="0" collapsed="false">
      <c r="A3" s="22" t="s">
        <v>700</v>
      </c>
      <c r="B3" s="22" t="s">
        <v>742</v>
      </c>
      <c r="C3" s="22" t="s">
        <v>743</v>
      </c>
      <c r="D3" s="22" t="s">
        <v>744</v>
      </c>
      <c r="E3" s="22" t="s">
        <v>745</v>
      </c>
      <c r="F3" s="22" t="s">
        <v>746</v>
      </c>
      <c r="G3" s="22" t="s">
        <v>705</v>
      </c>
    </row>
    <row r="4" customFormat="false" ht="23.85" hidden="false" customHeight="false" outlineLevel="0" collapsed="false">
      <c r="A4" s="23" t="s">
        <v>747</v>
      </c>
      <c r="B4" s="23" t="s">
        <v>748</v>
      </c>
      <c r="C4" s="23" t="s">
        <v>106</v>
      </c>
      <c r="D4" s="23" t="s">
        <v>749</v>
      </c>
      <c r="E4" s="23" t="s">
        <v>174</v>
      </c>
      <c r="F4" s="27" t="s">
        <v>750</v>
      </c>
      <c r="G4" s="23" t="s">
        <v>751</v>
      </c>
    </row>
    <row r="5" customFormat="false" ht="23.85" hidden="false" customHeight="false" outlineLevel="0" collapsed="false">
      <c r="A5" s="23" t="s">
        <v>752</v>
      </c>
      <c r="B5" s="23" t="s">
        <v>748</v>
      </c>
      <c r="C5" s="23" t="s">
        <v>753</v>
      </c>
      <c r="D5" s="23" t="s">
        <v>754</v>
      </c>
      <c r="E5" s="23" t="s">
        <v>483</v>
      </c>
      <c r="F5" s="27" t="s">
        <v>755</v>
      </c>
      <c r="G5" s="23" t="s">
        <v>756</v>
      </c>
    </row>
    <row r="6" customFormat="false" ht="23.85" hidden="false" customHeight="false" outlineLevel="0" collapsed="false">
      <c r="A6" s="23" t="s">
        <v>757</v>
      </c>
      <c r="B6" s="23" t="s">
        <v>748</v>
      </c>
      <c r="C6" s="23" t="s">
        <v>180</v>
      </c>
      <c r="D6" s="23" t="s">
        <v>758</v>
      </c>
      <c r="E6" s="23"/>
      <c r="F6" s="27" t="s">
        <v>750</v>
      </c>
      <c r="G6" s="23" t="s">
        <v>759</v>
      </c>
    </row>
    <row r="7" customFormat="false" ht="23.85" hidden="false" customHeight="false" outlineLevel="0" collapsed="false">
      <c r="A7" s="23" t="s">
        <v>760</v>
      </c>
      <c r="B7" s="23" t="s">
        <v>748</v>
      </c>
      <c r="C7" s="23" t="s">
        <v>106</v>
      </c>
      <c r="D7" s="23" t="s">
        <v>761</v>
      </c>
      <c r="E7" s="23" t="s">
        <v>762</v>
      </c>
      <c r="F7" s="27" t="s">
        <v>750</v>
      </c>
      <c r="G7" s="23" t="s">
        <v>763</v>
      </c>
    </row>
    <row r="8" customFormat="false" ht="23.85" hidden="false" customHeight="false" outlineLevel="0" collapsed="false">
      <c r="A8" s="23" t="s">
        <v>764</v>
      </c>
      <c r="B8" s="23" t="s">
        <v>748</v>
      </c>
      <c r="C8" s="23" t="s">
        <v>753</v>
      </c>
      <c r="D8" s="23" t="s">
        <v>765</v>
      </c>
      <c r="E8" s="23" t="s">
        <v>430</v>
      </c>
      <c r="F8" s="27" t="s">
        <v>766</v>
      </c>
      <c r="G8" s="23" t="s">
        <v>767</v>
      </c>
    </row>
    <row r="9" customFormat="false" ht="23.85" hidden="false" customHeight="false" outlineLevel="0" collapsed="false">
      <c r="A9" s="23" t="s">
        <v>768</v>
      </c>
      <c r="B9" s="23" t="s">
        <v>748</v>
      </c>
      <c r="C9" s="23" t="s">
        <v>106</v>
      </c>
      <c r="D9" s="23" t="s">
        <v>769</v>
      </c>
      <c r="E9" s="23" t="s">
        <v>298</v>
      </c>
      <c r="F9" s="27" t="s">
        <v>750</v>
      </c>
      <c r="G9" s="23" t="s">
        <v>770</v>
      </c>
    </row>
    <row r="10" customFormat="false" ht="23.85" hidden="false" customHeight="false" outlineLevel="0" collapsed="false">
      <c r="A10" s="23" t="s">
        <v>771</v>
      </c>
      <c r="B10" s="23" t="s">
        <v>748</v>
      </c>
      <c r="C10" s="23" t="s">
        <v>772</v>
      </c>
      <c r="D10" s="23" t="s">
        <v>773</v>
      </c>
      <c r="E10" s="23" t="s">
        <v>774</v>
      </c>
      <c r="F10" s="27" t="s">
        <v>766</v>
      </c>
      <c r="G10" s="23" t="s">
        <v>775</v>
      </c>
    </row>
    <row r="11" customFormat="false" ht="23.85" hidden="false" customHeight="false" outlineLevel="0" collapsed="false">
      <c r="A11" s="23" t="s">
        <v>776</v>
      </c>
      <c r="B11" s="23" t="s">
        <v>748</v>
      </c>
      <c r="C11" s="23" t="s">
        <v>240</v>
      </c>
      <c r="D11" s="23" t="s">
        <v>777</v>
      </c>
      <c r="E11" s="23" t="s">
        <v>254</v>
      </c>
      <c r="F11" s="27" t="s">
        <v>755</v>
      </c>
      <c r="G11" s="23" t="s">
        <v>778</v>
      </c>
    </row>
    <row r="12" customFormat="false" ht="23.85" hidden="false" customHeight="false" outlineLevel="0" collapsed="false">
      <c r="A12" s="23" t="s">
        <v>779</v>
      </c>
      <c r="B12" s="23" t="s">
        <v>780</v>
      </c>
      <c r="C12" s="23" t="s">
        <v>781</v>
      </c>
      <c r="D12" s="23" t="s">
        <v>782</v>
      </c>
      <c r="E12" s="23" t="s">
        <v>360</v>
      </c>
      <c r="F12" s="27" t="s">
        <v>783</v>
      </c>
      <c r="G12" s="23" t="s">
        <v>784</v>
      </c>
    </row>
    <row r="13" customFormat="false" ht="23.85" hidden="false" customHeight="false" outlineLevel="0" collapsed="false">
      <c r="A13" s="23" t="s">
        <v>785</v>
      </c>
      <c r="B13" s="23" t="s">
        <v>780</v>
      </c>
      <c r="C13" s="23" t="s">
        <v>781</v>
      </c>
      <c r="D13" s="23" t="s">
        <v>786</v>
      </c>
      <c r="E13" s="23"/>
      <c r="F13" s="27" t="s">
        <v>787</v>
      </c>
      <c r="G13" s="23" t="s">
        <v>788</v>
      </c>
    </row>
    <row r="14" customFormat="false" ht="23.85" hidden="false" customHeight="false" outlineLevel="0" collapsed="false">
      <c r="A14" s="23" t="s">
        <v>789</v>
      </c>
      <c r="B14" s="23" t="s">
        <v>780</v>
      </c>
      <c r="C14" s="23" t="s">
        <v>781</v>
      </c>
      <c r="D14" s="23" t="s">
        <v>790</v>
      </c>
      <c r="E14" s="23" t="s">
        <v>791</v>
      </c>
      <c r="F14" s="27" t="s">
        <v>783</v>
      </c>
      <c r="G14" s="23" t="s">
        <v>792</v>
      </c>
    </row>
    <row r="15" customFormat="false" ht="23.85" hidden="false" customHeight="false" outlineLevel="0" collapsed="false">
      <c r="A15" s="23" t="s">
        <v>793</v>
      </c>
      <c r="B15" s="23" t="s">
        <v>780</v>
      </c>
      <c r="C15" s="23" t="s">
        <v>781</v>
      </c>
      <c r="D15" s="23" t="s">
        <v>794</v>
      </c>
      <c r="E15" s="23"/>
      <c r="F15" s="27" t="s">
        <v>787</v>
      </c>
      <c r="G15" s="23" t="s">
        <v>795</v>
      </c>
    </row>
    <row r="16" customFormat="false" ht="15" hidden="false" customHeight="false" outlineLevel="0" collapsed="false">
      <c r="A16" s="23" t="s">
        <v>796</v>
      </c>
      <c r="B16" s="23" t="s">
        <v>780</v>
      </c>
      <c r="C16" s="23" t="s">
        <v>781</v>
      </c>
      <c r="D16" s="23" t="s">
        <v>797</v>
      </c>
      <c r="E16" s="23" t="s">
        <v>298</v>
      </c>
      <c r="F16" s="27" t="s">
        <v>783</v>
      </c>
      <c r="G16" s="23" t="s">
        <v>798</v>
      </c>
    </row>
    <row r="17" customFormat="false" ht="23.85" hidden="false" customHeight="false" outlineLevel="0" collapsed="false">
      <c r="A17" s="23" t="s">
        <v>799</v>
      </c>
      <c r="B17" s="23" t="s">
        <v>780</v>
      </c>
      <c r="C17" s="23" t="s">
        <v>781</v>
      </c>
      <c r="D17" s="23" t="s">
        <v>800</v>
      </c>
      <c r="E17" s="23"/>
      <c r="F17" s="27" t="s">
        <v>801</v>
      </c>
      <c r="G17" s="23" t="s">
        <v>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4"/>
  </cols>
  <sheetData>
    <row r="1" customFormat="false" ht="16.15" hidden="false" customHeight="false" outlineLevel="0" collapsed="false">
      <c r="A1" s="1" t="s">
        <v>803</v>
      </c>
    </row>
    <row r="2" customFormat="false" ht="15" hidden="false" customHeight="false" outlineLevel="0" collapsed="false">
      <c r="A2" s="2" t="s">
        <v>5</v>
      </c>
    </row>
    <row r="4" customFormat="false" ht="189.75" hidden="false" customHeight="true" outlineLevel="0" collapsed="false">
      <c r="A4" s="28" t="s">
        <v>804</v>
      </c>
      <c r="B4" s="28"/>
      <c r="C4" s="28"/>
      <c r="D4" s="28"/>
      <c r="E4" s="28"/>
    </row>
    <row r="6" customFormat="false" ht="15" hidden="false" customHeight="false" outlineLevel="0" collapsed="false">
      <c r="A6" s="22" t="s">
        <v>805</v>
      </c>
      <c r="B6" s="22" t="s">
        <v>806</v>
      </c>
      <c r="C6" s="22" t="s">
        <v>807</v>
      </c>
      <c r="D6" s="22" t="s">
        <v>808</v>
      </c>
      <c r="E6" s="22"/>
    </row>
    <row r="7" customFormat="false" ht="15" hidden="false" customHeight="false" outlineLevel="0" collapsed="false">
      <c r="A7" s="5" t="s">
        <v>671</v>
      </c>
      <c r="B7" s="11" t="n">
        <v>0.25</v>
      </c>
      <c r="C7" s="5" t="s">
        <v>106</v>
      </c>
      <c r="D7" s="4" t="s">
        <v>809</v>
      </c>
    </row>
    <row r="8" customFormat="false" ht="23.85" hidden="false" customHeight="false" outlineLevel="0" collapsed="false">
      <c r="A8" s="5" t="s">
        <v>687</v>
      </c>
      <c r="B8" s="11" t="n">
        <v>0.25</v>
      </c>
      <c r="C8" s="5" t="s">
        <v>810</v>
      </c>
      <c r="D8" s="4" t="s">
        <v>811</v>
      </c>
    </row>
    <row r="9" customFormat="false" ht="15" hidden="false" customHeight="false" outlineLevel="0" collapsed="false">
      <c r="A9" s="5" t="s">
        <v>99</v>
      </c>
      <c r="B9" s="11" t="n">
        <v>0.2</v>
      </c>
      <c r="C9" s="5" t="s">
        <v>431</v>
      </c>
      <c r="D9" s="4" t="s">
        <v>812</v>
      </c>
    </row>
    <row r="10" customFormat="false" ht="23.85" hidden="false" customHeight="false" outlineLevel="0" collapsed="false">
      <c r="A10" s="5" t="s">
        <v>677</v>
      </c>
      <c r="B10" s="11" t="n">
        <v>0.2</v>
      </c>
      <c r="C10" s="5" t="s">
        <v>180</v>
      </c>
      <c r="D10" s="4" t="s">
        <v>813</v>
      </c>
    </row>
    <row r="11" customFormat="false" ht="15" hidden="false" customHeight="false" outlineLevel="0" collapsed="false">
      <c r="A11" s="5" t="s">
        <v>682</v>
      </c>
      <c r="B11" s="11" t="n">
        <v>0.1</v>
      </c>
      <c r="C11" s="5" t="s">
        <v>240</v>
      </c>
      <c r="D11" s="4" t="s">
        <v>814</v>
      </c>
    </row>
    <row r="12" customFormat="false" ht="15" hidden="false" customHeight="false" outlineLevel="0" collapsed="false">
      <c r="A12" s="3" t="s">
        <v>697</v>
      </c>
      <c r="B12" s="29" t="n">
        <f aca="false">SUM(B7:B11)</f>
        <v>1</v>
      </c>
    </row>
  </sheetData>
  <mergeCells count="1"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5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1" t="s">
        <v>815</v>
      </c>
    </row>
    <row r="2" customFormat="false" ht="15" hidden="false" customHeight="false" outlineLevel="0" collapsed="false">
      <c r="A2" s="2" t="s">
        <v>816</v>
      </c>
    </row>
    <row r="3" customFormat="false" ht="15" hidden="false" customHeight="false" outlineLevel="0" collapsed="false">
      <c r="A3" s="22" t="s">
        <v>817</v>
      </c>
      <c r="B3" s="22" t="s">
        <v>818</v>
      </c>
      <c r="C3" s="22" t="s">
        <v>819</v>
      </c>
      <c r="D3" s="22" t="s">
        <v>820</v>
      </c>
      <c r="E3" s="22" t="s">
        <v>821</v>
      </c>
      <c r="F3" s="22" t="s">
        <v>822</v>
      </c>
    </row>
    <row r="4" customFormat="false" ht="15" hidden="false" customHeight="false" outlineLevel="0" collapsed="false">
      <c r="A4" s="30" t="n">
        <v>1</v>
      </c>
      <c r="B4" s="30" t="s">
        <v>823</v>
      </c>
      <c r="C4" s="30" t="s">
        <v>824</v>
      </c>
      <c r="D4" s="31" t="n">
        <v>20</v>
      </c>
      <c r="E4" s="32" t="s">
        <v>825</v>
      </c>
      <c r="F4" s="33"/>
    </row>
    <row r="5" customFormat="false" ht="15" hidden="false" customHeight="false" outlineLevel="0" collapsed="false">
      <c r="A5" s="30" t="n">
        <v>1</v>
      </c>
      <c r="B5" s="30" t="s">
        <v>823</v>
      </c>
      <c r="C5" s="30" t="s">
        <v>826</v>
      </c>
      <c r="D5" s="31" t="n">
        <v>40</v>
      </c>
      <c r="E5" s="32" t="s">
        <v>825</v>
      </c>
      <c r="F5" s="33"/>
    </row>
    <row r="6" customFormat="false" ht="15" hidden="false" customHeight="false" outlineLevel="0" collapsed="false">
      <c r="A6" s="30" t="n">
        <v>1</v>
      </c>
      <c r="B6" s="30" t="s">
        <v>823</v>
      </c>
      <c r="C6" s="30" t="s">
        <v>827</v>
      </c>
      <c r="D6" s="31" t="n">
        <v>30</v>
      </c>
      <c r="E6" s="32" t="s">
        <v>825</v>
      </c>
      <c r="F6" s="33"/>
    </row>
    <row r="7" customFormat="false" ht="15" hidden="false" customHeight="false" outlineLevel="0" collapsed="false">
      <c r="A7" s="30" t="n">
        <v>2</v>
      </c>
      <c r="B7" s="30" t="s">
        <v>828</v>
      </c>
      <c r="C7" s="30" t="s">
        <v>829</v>
      </c>
      <c r="D7" s="31" t="n">
        <v>25</v>
      </c>
      <c r="E7" s="32" t="s">
        <v>830</v>
      </c>
      <c r="F7" s="33"/>
    </row>
    <row r="8" customFormat="false" ht="15" hidden="false" customHeight="false" outlineLevel="0" collapsed="false">
      <c r="A8" s="30" t="n">
        <v>2</v>
      </c>
      <c r="B8" s="30" t="s">
        <v>828</v>
      </c>
      <c r="C8" s="30" t="s">
        <v>831</v>
      </c>
      <c r="D8" s="31" t="n">
        <v>35</v>
      </c>
      <c r="E8" s="32" t="s">
        <v>830</v>
      </c>
      <c r="F8" s="33"/>
    </row>
    <row r="9" customFormat="false" ht="15" hidden="false" customHeight="false" outlineLevel="0" collapsed="false">
      <c r="A9" s="30" t="n">
        <v>2</v>
      </c>
      <c r="B9" s="30" t="s">
        <v>828</v>
      </c>
      <c r="C9" s="30" t="s">
        <v>832</v>
      </c>
      <c r="D9" s="31" t="n">
        <v>40</v>
      </c>
      <c r="E9" s="32" t="s">
        <v>830</v>
      </c>
      <c r="F9" s="33"/>
    </row>
    <row r="10" customFormat="false" ht="15" hidden="false" customHeight="false" outlineLevel="0" collapsed="false">
      <c r="A10" s="30" t="n">
        <v>2</v>
      </c>
      <c r="B10" s="30" t="s">
        <v>828</v>
      </c>
      <c r="C10" s="30" t="s">
        <v>833</v>
      </c>
      <c r="D10" s="31" t="n">
        <v>20</v>
      </c>
      <c r="E10" s="32" t="s">
        <v>830</v>
      </c>
      <c r="F10" s="33"/>
    </row>
    <row r="11" customFormat="false" ht="15" hidden="false" customHeight="false" outlineLevel="0" collapsed="false">
      <c r="A11" s="30" t="n">
        <v>3</v>
      </c>
      <c r="B11" s="30" t="s">
        <v>834</v>
      </c>
      <c r="C11" s="30" t="s">
        <v>835</v>
      </c>
      <c r="D11" s="31" t="n">
        <v>30</v>
      </c>
      <c r="E11" s="32" t="s">
        <v>830</v>
      </c>
      <c r="F11" s="33"/>
    </row>
    <row r="12" customFormat="false" ht="15" hidden="false" customHeight="false" outlineLevel="0" collapsed="false">
      <c r="A12" s="30" t="n">
        <v>3</v>
      </c>
      <c r="B12" s="30" t="s">
        <v>834</v>
      </c>
      <c r="C12" s="30" t="s">
        <v>836</v>
      </c>
      <c r="D12" s="31" t="n">
        <v>40</v>
      </c>
      <c r="E12" s="32" t="s">
        <v>830</v>
      </c>
      <c r="F12" s="33"/>
    </row>
    <row r="13" customFormat="false" ht="15" hidden="false" customHeight="false" outlineLevel="0" collapsed="false">
      <c r="A13" s="30" t="n">
        <v>3</v>
      </c>
      <c r="B13" s="30" t="s">
        <v>834</v>
      </c>
      <c r="C13" s="30" t="s">
        <v>837</v>
      </c>
      <c r="D13" s="31" t="n">
        <v>30</v>
      </c>
      <c r="E13" s="32" t="s">
        <v>830</v>
      </c>
      <c r="F13" s="33"/>
    </row>
    <row r="14" customFormat="false" ht="15" hidden="false" customHeight="false" outlineLevel="0" collapsed="false">
      <c r="A14" s="30" t="n">
        <v>3</v>
      </c>
      <c r="B14" s="30" t="s">
        <v>834</v>
      </c>
      <c r="C14" s="30" t="s">
        <v>838</v>
      </c>
      <c r="D14" s="31" t="n">
        <v>20</v>
      </c>
      <c r="E14" s="32" t="s">
        <v>830</v>
      </c>
      <c r="F14" s="33"/>
    </row>
    <row r="15" customFormat="false" ht="15" hidden="false" customHeight="false" outlineLevel="0" collapsed="false">
      <c r="A15" s="30" t="n">
        <v>4</v>
      </c>
      <c r="B15" s="30" t="s">
        <v>839</v>
      </c>
      <c r="C15" s="30" t="s">
        <v>840</v>
      </c>
      <c r="D15" s="31" t="n">
        <v>40</v>
      </c>
      <c r="E15" s="32" t="s">
        <v>830</v>
      </c>
      <c r="F15" s="33"/>
    </row>
    <row r="16" customFormat="false" ht="15" hidden="false" customHeight="false" outlineLevel="0" collapsed="false">
      <c r="A16" s="30" t="n">
        <v>4</v>
      </c>
      <c r="B16" s="30" t="s">
        <v>839</v>
      </c>
      <c r="C16" s="30" t="s">
        <v>841</v>
      </c>
      <c r="D16" s="31" t="n">
        <v>30</v>
      </c>
      <c r="E16" s="32" t="s">
        <v>830</v>
      </c>
      <c r="F16" s="33"/>
    </row>
    <row r="17" customFormat="false" ht="15" hidden="false" customHeight="false" outlineLevel="0" collapsed="false">
      <c r="A17" s="30" t="n">
        <v>4</v>
      </c>
      <c r="B17" s="30" t="s">
        <v>839</v>
      </c>
      <c r="C17" s="30" t="s">
        <v>842</v>
      </c>
      <c r="D17" s="31" t="n">
        <v>30</v>
      </c>
      <c r="E17" s="32" t="s">
        <v>830</v>
      </c>
      <c r="F17" s="33"/>
    </row>
    <row r="18" customFormat="false" ht="15" hidden="false" customHeight="false" outlineLevel="0" collapsed="false">
      <c r="A18" s="30" t="n">
        <v>4</v>
      </c>
      <c r="B18" s="30" t="s">
        <v>839</v>
      </c>
      <c r="C18" s="30" t="s">
        <v>843</v>
      </c>
      <c r="D18" s="31" t="n">
        <v>20</v>
      </c>
      <c r="E18" s="32" t="s">
        <v>830</v>
      </c>
      <c r="F18" s="33"/>
    </row>
    <row r="19" customFormat="false" ht="15" hidden="false" customHeight="false" outlineLevel="0" collapsed="false">
      <c r="A19" s="30" t="n">
        <v>5</v>
      </c>
      <c r="B19" s="30" t="s">
        <v>844</v>
      </c>
      <c r="C19" s="30" t="s">
        <v>845</v>
      </c>
      <c r="D19" s="31" t="n">
        <v>30</v>
      </c>
      <c r="E19" s="32" t="s">
        <v>830</v>
      </c>
      <c r="F19" s="33"/>
    </row>
    <row r="20" customFormat="false" ht="15" hidden="false" customHeight="false" outlineLevel="0" collapsed="false">
      <c r="A20" s="30" t="n">
        <v>5</v>
      </c>
      <c r="B20" s="30" t="s">
        <v>844</v>
      </c>
      <c r="C20" s="30" t="s">
        <v>846</v>
      </c>
      <c r="D20" s="31" t="n">
        <v>30</v>
      </c>
      <c r="E20" s="32" t="s">
        <v>830</v>
      </c>
      <c r="F20" s="33"/>
    </row>
    <row r="21" customFormat="false" ht="15" hidden="false" customHeight="false" outlineLevel="0" collapsed="false">
      <c r="A21" s="30" t="n">
        <v>5</v>
      </c>
      <c r="B21" s="30" t="s">
        <v>844</v>
      </c>
      <c r="C21" s="30" t="s">
        <v>847</v>
      </c>
      <c r="D21" s="31" t="n">
        <v>30</v>
      </c>
      <c r="E21" s="32" t="s">
        <v>830</v>
      </c>
      <c r="F21" s="33"/>
    </row>
    <row r="22" customFormat="false" ht="15" hidden="false" customHeight="false" outlineLevel="0" collapsed="false">
      <c r="A22" s="30" t="n">
        <v>5</v>
      </c>
      <c r="B22" s="30" t="s">
        <v>844</v>
      </c>
      <c r="C22" s="30" t="s">
        <v>848</v>
      </c>
      <c r="D22" s="31" t="n">
        <v>30</v>
      </c>
      <c r="E22" s="32" t="s">
        <v>830</v>
      </c>
      <c r="F22" s="33"/>
    </row>
    <row r="23" customFormat="false" ht="15" hidden="false" customHeight="false" outlineLevel="0" collapsed="false">
      <c r="A23" s="30" t="n">
        <v>6</v>
      </c>
      <c r="B23" s="30" t="s">
        <v>849</v>
      </c>
      <c r="C23" s="30" t="s">
        <v>850</v>
      </c>
      <c r="D23" s="31" t="n">
        <v>45</v>
      </c>
      <c r="E23" s="32" t="s">
        <v>830</v>
      </c>
      <c r="F23" s="33"/>
    </row>
    <row r="24" customFormat="false" ht="15" hidden="false" customHeight="false" outlineLevel="0" collapsed="false">
      <c r="A24" s="30" t="n">
        <v>6</v>
      </c>
      <c r="B24" s="30" t="s">
        <v>849</v>
      </c>
      <c r="C24" s="30" t="s">
        <v>851</v>
      </c>
      <c r="D24" s="31" t="n">
        <v>20</v>
      </c>
      <c r="E24" s="32" t="s">
        <v>830</v>
      </c>
      <c r="F24" s="33"/>
    </row>
    <row r="25" customFormat="false" ht="15" hidden="false" customHeight="false" outlineLevel="0" collapsed="false">
      <c r="A25" s="30" t="n">
        <v>6</v>
      </c>
      <c r="B25" s="30" t="s">
        <v>849</v>
      </c>
      <c r="C25" s="30" t="s">
        <v>852</v>
      </c>
      <c r="D25" s="31" t="n">
        <v>25</v>
      </c>
      <c r="E25" s="32" t="s">
        <v>830</v>
      </c>
      <c r="F25" s="33"/>
    </row>
    <row r="26" customFormat="false" ht="15" hidden="false" customHeight="false" outlineLevel="0" collapsed="false">
      <c r="A26" s="30" t="n">
        <v>6</v>
      </c>
      <c r="B26" s="30" t="s">
        <v>849</v>
      </c>
      <c r="C26" s="30" t="s">
        <v>853</v>
      </c>
      <c r="D26" s="31" t="n">
        <v>30</v>
      </c>
      <c r="E26" s="32" t="s">
        <v>830</v>
      </c>
      <c r="F26" s="33"/>
    </row>
    <row r="27" customFormat="false" ht="15" hidden="false" customHeight="false" outlineLevel="0" collapsed="false">
      <c r="A27" s="30" t="n">
        <v>7</v>
      </c>
      <c r="B27" s="30" t="s">
        <v>854</v>
      </c>
      <c r="C27" s="30" t="s">
        <v>855</v>
      </c>
      <c r="D27" s="31" t="n">
        <v>35</v>
      </c>
      <c r="E27" s="32" t="s">
        <v>830</v>
      </c>
      <c r="F27" s="33"/>
    </row>
    <row r="28" customFormat="false" ht="15" hidden="false" customHeight="false" outlineLevel="0" collapsed="false">
      <c r="A28" s="30" t="n">
        <v>7</v>
      </c>
      <c r="B28" s="30" t="s">
        <v>854</v>
      </c>
      <c r="C28" s="30" t="s">
        <v>856</v>
      </c>
      <c r="D28" s="31" t="n">
        <v>25</v>
      </c>
      <c r="E28" s="32" t="s">
        <v>830</v>
      </c>
      <c r="F28" s="33"/>
    </row>
    <row r="29" customFormat="false" ht="15" hidden="false" customHeight="false" outlineLevel="0" collapsed="false">
      <c r="A29" s="30" t="n">
        <v>7</v>
      </c>
      <c r="B29" s="30" t="s">
        <v>854</v>
      </c>
      <c r="C29" s="30" t="s">
        <v>857</v>
      </c>
      <c r="D29" s="31" t="n">
        <v>30</v>
      </c>
      <c r="E29" s="32" t="s">
        <v>830</v>
      </c>
      <c r="F29" s="33"/>
    </row>
    <row r="30" customFormat="false" ht="15" hidden="false" customHeight="false" outlineLevel="0" collapsed="false">
      <c r="A30" s="30" t="n">
        <v>7</v>
      </c>
      <c r="B30" s="30" t="s">
        <v>854</v>
      </c>
      <c r="C30" s="30" t="s">
        <v>858</v>
      </c>
      <c r="D30" s="31" t="n">
        <v>30</v>
      </c>
      <c r="E30" s="32" t="s">
        <v>830</v>
      </c>
      <c r="F30" s="33"/>
    </row>
    <row r="31" customFormat="false" ht="15" hidden="false" customHeight="false" outlineLevel="0" collapsed="false">
      <c r="A31" s="30" t="n">
        <v>8</v>
      </c>
      <c r="B31" s="30" t="s">
        <v>859</v>
      </c>
      <c r="C31" s="30" t="s">
        <v>860</v>
      </c>
      <c r="D31" s="31" t="n">
        <v>40</v>
      </c>
      <c r="E31" s="32" t="s">
        <v>830</v>
      </c>
      <c r="F31" s="33"/>
    </row>
    <row r="32" customFormat="false" ht="15" hidden="false" customHeight="false" outlineLevel="0" collapsed="false">
      <c r="A32" s="30" t="n">
        <v>8</v>
      </c>
      <c r="B32" s="30" t="s">
        <v>859</v>
      </c>
      <c r="C32" s="30" t="s">
        <v>861</v>
      </c>
      <c r="D32" s="31" t="n">
        <v>40</v>
      </c>
      <c r="E32" s="32" t="s">
        <v>830</v>
      </c>
      <c r="F32" s="33"/>
    </row>
    <row r="33" customFormat="false" ht="15" hidden="false" customHeight="false" outlineLevel="0" collapsed="false">
      <c r="A33" s="30" t="n">
        <v>8</v>
      </c>
      <c r="B33" s="30" t="s">
        <v>859</v>
      </c>
      <c r="C33" s="30" t="s">
        <v>862</v>
      </c>
      <c r="D33" s="31" t="n">
        <v>40</v>
      </c>
      <c r="E33" s="32" t="s">
        <v>830</v>
      </c>
      <c r="F33" s="33"/>
    </row>
    <row r="34" customFormat="false" ht="15" hidden="false" customHeight="false" outlineLevel="0" collapsed="false">
      <c r="A34" s="30" t="n">
        <v>9</v>
      </c>
      <c r="B34" s="30" t="s">
        <v>863</v>
      </c>
      <c r="C34" s="30" t="s">
        <v>864</v>
      </c>
      <c r="D34" s="31" t="n">
        <v>60</v>
      </c>
      <c r="E34" s="32" t="s">
        <v>830</v>
      </c>
      <c r="F34" s="33"/>
    </row>
    <row r="35" customFormat="false" ht="15" hidden="false" customHeight="false" outlineLevel="0" collapsed="false">
      <c r="A35" s="30" t="n">
        <v>9</v>
      </c>
      <c r="B35" s="30" t="s">
        <v>863</v>
      </c>
      <c r="C35" s="30" t="s">
        <v>865</v>
      </c>
      <c r="D35" s="31" t="n">
        <v>60</v>
      </c>
      <c r="E35" s="32" t="s">
        <v>830</v>
      </c>
      <c r="F35" s="33"/>
    </row>
    <row r="36" customFormat="false" ht="15" hidden="false" customHeight="false" outlineLevel="0" collapsed="false">
      <c r="A36" s="30" t="n">
        <v>10</v>
      </c>
      <c r="B36" s="30" t="s">
        <v>866</v>
      </c>
      <c r="C36" s="30" t="s">
        <v>867</v>
      </c>
      <c r="D36" s="31" t="n">
        <v>30</v>
      </c>
      <c r="E36" s="32" t="s">
        <v>830</v>
      </c>
      <c r="F36" s="33"/>
    </row>
    <row r="37" customFormat="false" ht="15" hidden="false" customHeight="false" outlineLevel="0" collapsed="false">
      <c r="A37" s="30" t="n">
        <v>10</v>
      </c>
      <c r="B37" s="30" t="s">
        <v>866</v>
      </c>
      <c r="C37" s="30" t="s">
        <v>868</v>
      </c>
      <c r="D37" s="31" t="n">
        <v>40</v>
      </c>
      <c r="E37" s="32" t="s">
        <v>830</v>
      </c>
      <c r="F37" s="33"/>
    </row>
    <row r="38" customFormat="false" ht="15" hidden="false" customHeight="false" outlineLevel="0" collapsed="false">
      <c r="A38" s="30" t="n">
        <v>10</v>
      </c>
      <c r="B38" s="30" t="s">
        <v>866</v>
      </c>
      <c r="C38" s="30" t="s">
        <v>869</v>
      </c>
      <c r="D38" s="31" t="n">
        <v>50</v>
      </c>
      <c r="E38" s="32" t="s">
        <v>830</v>
      </c>
      <c r="F38" s="33"/>
    </row>
    <row r="39" customFormat="false" ht="15" hidden="false" customHeight="false" outlineLevel="0" collapsed="false">
      <c r="A39" s="30" t="n">
        <v>11</v>
      </c>
      <c r="B39" s="30" t="s">
        <v>870</v>
      </c>
      <c r="C39" s="30" t="s">
        <v>871</v>
      </c>
      <c r="D39" s="31" t="n">
        <v>25</v>
      </c>
      <c r="E39" s="32" t="s">
        <v>830</v>
      </c>
      <c r="F39" s="33"/>
    </row>
    <row r="40" customFormat="false" ht="15" hidden="false" customHeight="false" outlineLevel="0" collapsed="false">
      <c r="A40" s="30" t="n">
        <v>11</v>
      </c>
      <c r="B40" s="30" t="s">
        <v>870</v>
      </c>
      <c r="C40" s="30" t="s">
        <v>872</v>
      </c>
      <c r="D40" s="31" t="n">
        <v>25</v>
      </c>
      <c r="E40" s="32" t="s">
        <v>830</v>
      </c>
      <c r="F40" s="33"/>
    </row>
    <row r="41" customFormat="false" ht="15" hidden="false" customHeight="false" outlineLevel="0" collapsed="false">
      <c r="A41" s="30" t="n">
        <v>11</v>
      </c>
      <c r="B41" s="30" t="s">
        <v>870</v>
      </c>
      <c r="C41" s="30" t="s">
        <v>873</v>
      </c>
      <c r="D41" s="31" t="n">
        <v>35</v>
      </c>
      <c r="E41" s="32" t="s">
        <v>830</v>
      </c>
      <c r="F41" s="33"/>
    </row>
    <row r="42" customFormat="false" ht="15" hidden="false" customHeight="false" outlineLevel="0" collapsed="false">
      <c r="A42" s="30" t="n">
        <v>11</v>
      </c>
      <c r="B42" s="30" t="s">
        <v>870</v>
      </c>
      <c r="C42" s="30" t="s">
        <v>874</v>
      </c>
      <c r="D42" s="31" t="n">
        <v>20</v>
      </c>
      <c r="E42" s="32" t="s">
        <v>830</v>
      </c>
      <c r="F42" s="33"/>
    </row>
    <row r="43" customFormat="false" ht="15" hidden="false" customHeight="false" outlineLevel="0" collapsed="false">
      <c r="A43" s="30" t="n">
        <v>11</v>
      </c>
      <c r="B43" s="30" t="s">
        <v>870</v>
      </c>
      <c r="C43" s="30" t="s">
        <v>875</v>
      </c>
      <c r="D43" s="31" t="n">
        <v>15</v>
      </c>
      <c r="E43" s="32" t="s">
        <v>830</v>
      </c>
      <c r="F43" s="33"/>
    </row>
    <row r="44" customFormat="false" ht="15" hidden="false" customHeight="false" outlineLevel="0" collapsed="false">
      <c r="C44" s="3" t="s">
        <v>876</v>
      </c>
      <c r="D44" s="3" t="n">
        <f aca="false">SUMIF(A4:A43,"&gt;1",D4:D43)</f>
        <v>1200</v>
      </c>
    </row>
    <row r="45" customFormat="false" ht="15" hidden="false" customHeight="false" outlineLevel="0" collapsed="false">
      <c r="C45" s="3" t="s">
        <v>877</v>
      </c>
      <c r="D45" s="3" t="str">
        <f aca="false">COUNTIF(E4:E43,"Done")&amp;" of "&amp;COUNTA(C4:C43)</f>
        <v>3 of 40</v>
      </c>
    </row>
  </sheetData>
  <dataValidations count="1">
    <dataValidation allowBlank="true" errorStyle="stop" operator="between" showDropDown="false" showErrorMessage="false" showInputMessage="false" sqref="E4:E43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2026-10-06T15:59:23Z</dcterms:created>
  <dc:creator>openpyxl</dc:creator>
  <dc:description/>
  <dc:language>en-US</dc:language>
  <cp:lastModifiedBy/>
  <dcterms:modified xsi:type="dcterms:W3CDTF">2026-10-06T15:59:23Z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